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27f77b917043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Özet_Bütçe" sheetId="1" r:id="Rafd205e074634b93"/>
    <x:sheet xmlns:r="http://schemas.openxmlformats.org/officeDocument/2006/relationships" name="BOM_Detay" sheetId="2" r:id="R6242593032f74033"/>
    <x:sheet xmlns:r="http://schemas.openxmlformats.org/officeDocument/2006/relationships" name="Lab_Ekipmanı" sheetId="3" r:id="R85e95579ed58492c"/>
    <x:sheet xmlns:r="http://schemas.openxmlformats.org/officeDocument/2006/relationships" name="Alternatifler" sheetId="4" r:id="R9f557512624541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 &quot;TL&quot;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63A5F"/>
      <x:name val="Carlito"/>
    </x:font>
    <x:font>
      <x:b/>
      <x:sz val="10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4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/>
    </x:xf>
    <x:xf numFmtId="0" fontId="3" fillId="4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ont>
        <x:b/>
      </x:font>
      <x:fill>
        <x:patternFill patternType="solid">
          <x:bgColor rgb="FFFDE9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ont>
        <x:color rgb="FF7F7F7F"/>
      </x:font>
      <x:fill>
        <x:patternFill patternType="solid"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7868584ef84c68" /><Relationship Type="http://schemas.openxmlformats.org/officeDocument/2006/relationships/theme" Target="/xl/theme/theme1.xml" Id="R48a50f45f8a746d2" /><Relationship Type="http://schemas.openxmlformats.org/officeDocument/2006/relationships/sharedStrings" Target="/xl/sharedStrings.xml" Id="Racb342a56d194b36" /><Relationship Type="http://schemas.openxmlformats.org/officeDocument/2006/relationships/worksheet" Target="/xl/worksheets/sheet1.xml" Id="Rafd205e074634b93" /><Relationship Type="http://schemas.openxmlformats.org/officeDocument/2006/relationships/worksheet" Target="/xl/worksheets/sheet2.xml" Id="R6242593032f74033" /><Relationship Type="http://schemas.openxmlformats.org/officeDocument/2006/relationships/worksheet" Target="/xl/worksheets/sheet3.xml" Id="R85e95579ed58492c" /><Relationship Type="http://schemas.openxmlformats.org/officeDocument/2006/relationships/worksheet" Target="/xl/worksheets/sheet4.xml" Id="R9f557512624541e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89ca5d82f714dd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Seçili Bütçenin Kategori Dağılımı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Seçili Tutar (TL)</c:v>
          </c:tx>
          <c:cat>
            <c:strRef>
              <c:f>'Özet_Bütçe'!$A$13:$A$23</c:f>
              <c:strCache>
                <c:ptCount val="0"/>
              </c:strCache>
            </c:strRef>
          </c:cat>
          <c:val>
            <c:numRef>
              <c:f>'Özet_Bütçe'!$B$13:$B$23</c:f>
              <c:numCache>
                <c:formatCode>#,##0.00 "TL"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23</xdr:row>
      <xdr:rowOff>0</xdr:rowOff>
    </xdr:from>
    <xdr:to>
      <xdr:col>8</xdr:col>
      <xdr:colOff>0</xdr:colOff>
      <xdr:row>40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89ca5d82f714dd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BOMTable" displayName="BOMTable" ref="A1:Q33" headerRowCount="1" totalsRowCount="0" totalsRowShown="0">
  <x:tableColumns count="17">
    <x:tableColumn id="1" name="No"/>
    <x:tableColumn id="2" name="Kategori"/>
    <x:tableColumn id="3" name="Alt Sistem"/>
    <x:tableColumn id="4" name="Malzeme / Parça"/>
    <x:tableColumn id="5" name="Önerilen Örnek"/>
    <x:tableColumn id="6" name="Zorunluluk"/>
    <x:tableColumn id="7" name="Satın Al?"/>
    <x:tableColumn id="8" name="Adet"/>
    <x:tableColumn id="9" name="Teknik Özellikler"/>
    <x:tableColumn id="10" name="Teknik Gereksinim / Kabul Kriteri"/>
    <x:tableColumn id="11" name="Projede Kullanım Amacı"/>
    <x:tableColumn id="12" name="Arayüz / Bağlantı"/>
    <x:tableColumn id="13" name="Birim Fiyat (TL)"/>
    <x:tableColumn id="14" name="Toplam (TL)"/>
    <x:tableColumn id="15" name="Fiyat Temeli"/>
    <x:tableColumn id="16" name="Kaynak URL"/>
    <x:tableColumn id="17" name="Not / Risk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abTable" displayName="LabTable" ref="A1:G11" headerRowCount="1" totalsRowCount="0" totalsRowShown="0">
  <x:tableColumns count="7">
    <x:tableColumn id="1" name="No"/>
    <x:tableColumn id="2" name="Kategori"/>
    <x:tableColumn id="3" name="Ekipman"/>
    <x:tableColumn id="4" name="Minimum Teknik Özellik"/>
    <x:tableColumn id="5" name="Projede Amaç"/>
    <x:tableColumn id="6" name="Tedarik Durumu"/>
    <x:tableColumn id="7" name="No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ltTable" displayName="AltTable" ref="A1:F5" headerRowCount="1" totalsRowCount="0" totalsRowShown="0">
  <x:tableColumns count="6">
    <x:tableColumn id="1" name="Seçenek"/>
    <x:tableColumn id="2" name="Mimari"/>
    <x:tableColumn id="3" name="Güç/Sınır"/>
    <x:tableColumn id="4" name="Avantaj"/>
    <x:tableColumn id="5" name="Dezavantaj"/>
    <x:tableColumn id="6" name="Ne Zaman Seçilmeli?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55c5575d73e418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7e944cfc996407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257151feb11409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fa849892a7a4a87" /></Relationships>
</file>

<file path=xl/worksheets/sheet1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42" hidden="0" customWidth="1"/>
    <x:col min="3" max="3" width="4" hidden="0" customWidth="1"/>
    <x:col min="4" max="4" width="22" hidden="0" customWidth="1"/>
    <x:col min="5" max="5" width="18" hidden="0" customWidth="1"/>
    <x:col min="6" max="6" width="12" hidden="0" customWidth="1"/>
    <x:col min="7" max="7" width="12" hidden="0" customWidth="1"/>
    <x:col min="8" max="8" width="22" hidden="0" customWidth="1"/>
  </x:cols>
  <x:sheetData>
    <x:row r="1" ht="30" customHeight="1">
      <x:c r="A1" s="5" t="str">
        <x:v>Düşük Bütçeli Elektrik Tahrik Projesi – Malzeme ve Bütçe Planı</x:v>
      </x:c>
      <x:c r="B1" s="5"/>
      <x:c r="C1" s="5"/>
      <x:c r="D1" s="5"/>
      <x:c r="E1" s="5"/>
      <x:c r="F1" s="5"/>
      <x:c r="G1" s="5"/>
      <x:c r="H1" s="5"/>
    </x:row>
    <x:row r="3">
      <x:c r="A3" s="14" t="str">
        <x:v>Tarih</x:v>
      </x:c>
      <x:c r="B3" s="10" t="str">
        <x:v>16.09.2026</x:v>
      </x:c>
      <x:c r="D3" s="14" t="str">
        <x:v>Bütçe Özeti</x:v>
      </x:c>
      <x:c r="E3" s="10" t="str">
        <x:v>TL</x:v>
      </x:c>
    </x:row>
    <x:row r="4">
      <x:c r="A4" s="14" t="str">
        <x:v>Hedef sistem</x:v>
      </x:c>
      <x:c r="B4" s="10" t="str">
        <x:v>24 V, 150 W sınıfı Hall sensörlü BLDC/PMSM + STM32G431 FOC</x:v>
      </x:c>
      <x:c r="D4" s="14" t="str">
        <x:v>Seçili tüm kalemler</x:v>
      </x:c>
      <x:c r="E4" s="28" t="n">
        <x:f>SUM(BOM_Detay!N2:N33)</x:f>
        <x:v>11311.55</x:v>
      </x:c>
    </x:row>
    <x:row r="5">
      <x:c r="A5" s="14" t="str">
        <x:v>Mekanik yük</x:v>
      </x:c>
      <x:c r="B5" s="10" t="str">
        <x:v>160 mm disk fren + load cell + 100 mm reaksiyon kolu</x:v>
      </x:c>
      <x:c r="D5" s="14" t="str">
        <x:v>Zorunlu seçili kalemler</x:v>
      </x:c>
      <x:c r="E5" s="28" t="n">
        <x:f>SUMIF(BOM_Detay!F2:F33,"Zorunlu",BOM_Detay!N2:N33)</x:f>
        <x:v>10362.84</x:v>
      </x:c>
    </x:row>
    <x:row r="6">
      <x:c r="A6" s="14" t="str">
        <x:v>Güvenlik seviyesi</x:v>
      </x:c>
      <x:c r="B6" s="10" t="str">
        <x:v>Öğrenciler yalnız 24 VDC tarafta çalışır; 230 VAC bağlantısı laboratuvar personeli tarafından yapılır.</x:v>
      </x:c>
      <x:c r="D6" s="14" t="str">
        <x:v>Önerilen seçili kalemler</x:v>
      </x:c>
      <x:c r="E6" s="28" t="n">
        <x:f>SUMIF(BOM_Detay!F2:F33,"Önerilen",BOM_Detay!N2:N33)</x:f>
        <x:v>948.71</x:v>
      </x:c>
    </x:row>
    <x:row r="7">
      <x:c r="A7" s="14" t="str">
        <x:v>Fiyat yaklaşımı</x:v>
      </x:c>
      <x:c r="B7" s="10" t="str">
        <x:v>Web'de görülen güncel KDV dahil fiyatlar + yerel imalat/komponentler için tahmini değerler</x:v>
      </x:c>
      <x:c r="D7" s="14" t="str">
        <x:v>Opsiyonel seçili kalemler</x:v>
      </x:c>
      <x:c r="E7" s="28" t="n">
        <x:f>SUMIF(BOM_Detay!F2:F33,"Opsiyonel",BOM_Detay!N2:N33)</x:f>
        <x:v>0</x:v>
      </x:c>
    </x:row>
    <x:row r="8">
      <x:c r="A8" s="14" t="str">
        <x:v>Not</x:v>
      </x:c>
      <x:c r="B8" s="10" t="str">
        <x:v>Fiyatlar stok, kargo ve döviz nedeniyle değişebilir. Birim fiyat hücreleri kullanıcı tarafından güncellenebilir.</x:v>
      </x:c>
      <x:c r="D8" s="14" t="str">
        <x:v>Atölye/lab ekipmanı</x:v>
      </x:c>
      <x:c r="E8" s="10" t="str">
        <x:v>Mevcut kabul edildi</x:v>
      </x:c>
    </x:row>
    <x:row r="9">
      <x:c r="A9" s="14" t="str">
        <x:v>Ders gereksinimi</x:v>
      </x:c>
      <x:c r="B9" s="10" t="str">
        <x:v>Motor, sürücü/inverter, enkoder/Hall, akım ölçümü, MCU/gerçek zamanlı kontrolcü, güç kaynağı, yük düzeneği ve koruma ekipmanları.</x:v>
      </x:c>
      <x:c r="D9" s="14" t="str">
        <x:v>Ultra-düşük bütçe notu</x:v>
      </x:c>
      <x:c r="E9" s="10" t="str">
        <x:v>PSU, taban, kablo ve atölye malzemeleri mevcutsa toplam ciddi azalır.</x:v>
      </x:c>
    </x:row>
    <x:row r="12">
      <x:c r="A12" s="22" t="str">
        <x:v>Kategori</x:v>
      </x:c>
      <x:c r="B12" s="22" t="str">
        <x:v>Seçili Tutar (TL)</x:v>
      </x:c>
      <x:c r="D12" s="22" t="str">
        <x:v>Önerilen düşük bütçeli mimari</x:v>
      </x:c>
      <x:c r="E12" s="22"/>
      <x:c r="F12" s="22"/>
      <x:c r="G12" s="22"/>
      <x:c r="H12" s="22"/>
    </x:row>
    <x:row r="13">
      <x:c r="A13" t="str">
        <x:v>Tahrik</x:v>
      </x:c>
      <x:c r="B13" s="30" t="n">
        <x:f>SUMIF(BOM_Detay!B2:B33,A13,BOM_Detay!N2:N33)</x:f>
        <x:v>5198.870000000001</x:v>
      </x:c>
      <x:c r="D13" t="str">
        <x:v>1</x:v>
      </x:c>
      <x:c r="E13" t="str">
        <x:v>24 V SMPS</x:v>
      </x:c>
      <x:c r="F13" t="str">
        <x:v>→</x:v>
      </x:c>
      <x:c r="G13" t="str">
        <x:v>B-G431B-ESC1</x:v>
      </x:c>
      <x:c r="H13" t="str">
        <x:v>→ BLDC/PMSM</x:v>
      </x:c>
    </x:row>
    <x:row r="14">
      <x:c r="A14" t="str">
        <x:v>Güç</x:v>
      </x:c>
      <x:c r="B14" s="30" t="n">
        <x:f>SUMIF(BOM_Detay!B2:B33,A14,BOM_Detay!N2:N33)</x:f>
        <x:v>650</x:v>
      </x:c>
      <x:c r="D14" t="str">
        <x:v>2</x:v>
      </x:c>
      <x:c r="E14" t="str">
        <x:v>Motor mili</x:v>
      </x:c>
      <x:c r="F14" t="str">
        <x:v>→</x:v>
      </x:c>
      <x:c r="G14" t="str">
        <x:v>160 mm disk rotor</x:v>
      </x:c>
      <x:c r="H14" t="str">
        <x:v>→ Mekanik kaliper</x:v>
      </x:c>
    </x:row>
    <x:row r="15">
      <x:c r="A15" t="str">
        <x:v>Mekanik Yük</x:v>
      </x:c>
      <x:c r="B15" s="30" t="n">
        <x:f>SUMIF(BOM_Detay!B2:B33,A15,BOM_Detay!N2:N33)</x:f>
        <x:v>1145</x:v>
      </x:c>
      <x:c r="D15" t="str">
        <x:v>3</x:v>
      </x:c>
      <x:c r="E15" t="str">
        <x:v>Kaliper reaksiyon kolu</x:v>
      </x:c>
      <x:c r="F15" t="str">
        <x:v>→</x:v>
      </x:c>
      <x:c r="G15" t="str">
        <x:v>20 kg load cell</x:v>
      </x:c>
      <x:c r="H15" t="str">
        <x:v>→ HX711 / veri</x:v>
      </x:c>
    </x:row>
    <x:row r="16">
      <x:c r="A16" t="str">
        <x:v>Mekanik</x:v>
      </x:c>
      <x:c r="B16" s="30" t="n">
        <x:f>SUMIF(BOM_Detay!B2:B33,A16,BOM_Detay!N2:N33)</x:f>
        <x:v>1450</x:v>
      </x:c>
      <x:c r="D16" t="str">
        <x:v>4</x:v>
      </x:c>
      <x:c r="E16" t="str">
        <x:v>Hall sensörü</x:v>
      </x:c>
      <x:c r="F16" t="str">
        <x:v>→</x:v>
      </x:c>
      <x:c r="G16" t="str">
        <x:v>STM32G431</x:v>
      </x:c>
      <x:c r="H16" t="str">
        <x:v>→ Hız/konum geri besleme</x:v>
      </x:c>
    </x:row>
    <x:row r="17">
      <x:c r="A17" t="str">
        <x:v>Güvenlik</x:v>
      </x:c>
      <x:c r="B17" s="30" t="n">
        <x:f>SUMIF(BOM_Detay!B2:B33,A17,BOM_Detay!N2:N33)</x:f>
        <x:v>966.5</x:v>
      </x:c>
      <x:c r="D17" t="str">
        <x:v>5</x:v>
      </x:c>
      <x:c r="E17" t="str">
        <x:v>DC wattmetre</x:v>
      </x:c>
      <x:c r="F17" t="str">
        <x:v>→</x:v>
      </x:c>
      <x:c r="G17" t="str">
        <x:v>Pdc ölçümü</x:v>
      </x:c>
      <x:c r="H17" t="str">
        <x:v>→ η = Pmech/Pdc</x:v>
      </x:c>
    </x:row>
    <x:row r="18">
      <x:c r="A18" t="str">
        <x:v>Kablolama</x:v>
      </x:c>
      <x:c r="B18" s="30" t="n">
        <x:f>SUMIF(BOM_Detay!B2:B33,A18,BOM_Detay!N2:N33)</x:f>
        <x:v>970</x:v>
      </x:c>
    </x:row>
    <x:row r="19">
      <x:c r="A19" t="str">
        <x:v>Soğutma</x:v>
      </x:c>
      <x:c r="B19" s="30" t="n">
        <x:f>SUMIF(BOM_Detay!B2:B33,A19,BOM_Detay!N2:N33)</x:f>
        <x:v>150</x:v>
      </x:c>
      <x:c r="D19" s="22" t="str">
        <x:v>Kritik güvenlik kuralları</x:v>
      </x:c>
      <x:c r="E19" s="22" t="str"/>
      <x:c r="F19" s="22" t="str"/>
      <x:c r="G19" s="22" t="str"/>
      <x:c r="H19" s="22" t="str"/>
    </x:row>
    <x:row r="20">
      <x:c r="A20" t="str">
        <x:v>Ölçüm</x:v>
      </x:c>
      <x:c r="B20" s="30" t="n">
        <x:f>SUMIF(BOM_Detay!B2:B33,A20,BOM_Detay!N2:N33)</x:f>
        <x:v>681.18</x:v>
      </x:c>
      <x:c r="D20" t="str">
        <x:v>•</x:v>
      </x:c>
      <x:c r="E20" t="str">
        <x:v>Rotor/kaplin tamamen muhafaza altında olmalı.</x:v>
      </x:c>
      <x:c r="F20" t="str"/>
      <x:c r="G20" t="str"/>
      <x:c r="H20" t="str"/>
    </x:row>
    <x:row r="21">
      <x:c r="A21" t="str">
        <x:v>Geliştirme</x:v>
      </x:c>
      <x:c r="B21" s="30" t="n">
        <x:f>SUMIF(BOM_Detay!B2:B33,A21,BOM_Detay!N2:N33)</x:f>
        <x:v>100</x:v>
      </x:c>
      <x:c r="D21" t="str">
        <x:v>•</x:v>
      </x:c>
      <x:c r="E21" t="str">
        <x:v>E-stop donanımsal kesme zincirine bağlı olmalı; yalnız yazılım komutu olmamalı.</x:v>
      </x:c>
      <x:c r="F21" t="str"/>
      <x:c r="G21" t="str"/>
      <x:c r="H21" t="str"/>
    </x:row>
    <x:row r="22">
      <x:c r="A22" t="str">
        <x:v>Haberleşme</x:v>
      </x:c>
      <x:c r="B22" s="30" t="n">
        <x:f>SUMIF(BOM_Detay!B2:B33,A22,BOM_Detay!N2:N33)</x:f>
        <x:v>0</x:v>
      </x:c>
      <x:c r="D22" t="str">
        <x:v>•</x:v>
      </x:c>
      <x:c r="E22" t="str">
        <x:v>230 VAC tarafı kapalı muhafazada ve laboratuvar teknik personeli tarafından bağlanmalı.</x:v>
      </x:c>
      <x:c r="F22" t="str"/>
      <x:c r="G22" t="str"/>
      <x:c r="H22" t="str"/>
    </x:row>
    <x:row r="23">
      <x:c r="A23" t="str">
        <x:v>Kalibrasyon</x:v>
      </x:c>
      <x:c r="B23" s="30" t="n">
        <x:f>SUMIF(BOM_Detay!B2:B33,A23,BOM_Detay!N2:N33)</x:f>
        <x:v>0</x:v>
      </x:c>
    </x:row>
  </x:sheetData>
  <x:mergeCells>
    <x:mergeCell ref="A1:H1"/>
    <x:mergeCell ref="D12:H12"/>
  </x:mergeCells>
  <x:pageMargins left="0.7" right="0.7" top="0.75" bottom="0.75" header="0.3" footer="0.3"/>
  <x:drawing xmlns:r="http://schemas.openxmlformats.org/officeDocument/2006/relationships" r:id="R155c5575d73e418f"/>
</x:worksheet>
</file>

<file path=xl/worksheets/sheet2.xml><?xml version="1.0" encoding="utf-8"?>
<x:worksheet xmlns:x="http://schemas.openxmlformats.org/spreadsheetml/2006/main">
  <x:sheetFormatPr defaultRowHeight="15"/>
  <x:cols>
    <x:col min="1" max="1" width="5" hidden="0" customWidth="1"/>
    <x:col min="2" max="2" width="14" hidden="0" customWidth="1"/>
    <x:col min="3" max="3" width="16" hidden="0" customWidth="1"/>
    <x:col min="4" max="4" width="26" hidden="0" customWidth="1"/>
    <x:col min="5" max="5" width="30" hidden="0" customWidth="1"/>
    <x:col min="6" max="6" width="12" hidden="0" customWidth="1"/>
    <x:col min="7" max="7" width="11" hidden="0" customWidth="1"/>
    <x:col min="8" max="8" width="8" hidden="0" customWidth="1"/>
    <x:col min="9" max="9" width="42" hidden="0" customWidth="1"/>
    <x:col min="10" max="10" width="42" hidden="0" customWidth="1"/>
    <x:col min="11" max="11" width="42" hidden="0" customWidth="1"/>
    <x:col min="12" max="12" width="24" hidden="0" customWidth="1"/>
    <x:col min="13" max="13" width="14" hidden="0" customWidth="1"/>
    <x:col min="14" max="14" width="14" hidden="0" customWidth="1"/>
    <x:col min="15" max="15" width="18" hidden="0" customWidth="1"/>
    <x:col min="16" max="16" width="38" hidden="0" customWidth="1"/>
    <x:col min="17" max="17" width="36" hidden="0" customWidth="1"/>
  </x:cols>
  <x:sheetData>
    <x:row r="1">
      <x:c r="A1" s="32" t="str">
        <x:v>No</x:v>
      </x:c>
      <x:c r="B1" s="32" t="str">
        <x:v>Kategori</x:v>
      </x:c>
      <x:c r="C1" s="32" t="str">
        <x:v>Alt Sistem</x:v>
      </x:c>
      <x:c r="D1" s="32" t="str">
        <x:v>Malzeme / Parça</x:v>
      </x:c>
      <x:c r="E1" s="32" t="str">
        <x:v>Önerilen Örnek</x:v>
      </x:c>
      <x:c r="F1" s="32" t="str">
        <x:v>Zorunluluk</x:v>
      </x:c>
      <x:c r="G1" s="32" t="str">
        <x:v>Satın Al?</x:v>
      </x:c>
      <x:c r="H1" s="32" t="str">
        <x:v>Adet</x:v>
      </x:c>
      <x:c r="I1" s="32" t="str">
        <x:v>Teknik Özellikler</x:v>
      </x:c>
      <x:c r="J1" s="32" t="str">
        <x:v>Teknik Gereksinim / Kabul Kriteri</x:v>
      </x:c>
      <x:c r="K1" s="32" t="str">
        <x:v>Projede Kullanım Amacı</x:v>
      </x:c>
      <x:c r="L1" s="32" t="str">
        <x:v>Arayüz / Bağlantı</x:v>
      </x:c>
      <x:c r="M1" s="32" t="str">
        <x:v>Birim Fiyat (TL)</x:v>
      </x:c>
      <x:c r="N1" s="32" t="str">
        <x:v>Toplam (TL)</x:v>
      </x:c>
      <x:c r="O1" s="32" t="str">
        <x:v>Fiyat Temeli</x:v>
      </x:c>
      <x:c r="P1" s="32" t="str">
        <x:v>Kaynak URL</x:v>
      </x:c>
      <x:c r="Q1" s="32" t="str">
        <x:v>Not / Risk</x:v>
      </x:c>
    </x:row>
    <x:row r="2" ht="78" customHeight="1">
      <x:c r="A2" s="36" t="n">
        <x:v>1</x:v>
      </x:c>
      <x:c r="B2" s="36" t="str">
        <x:v>Tahrik</x:v>
      </x:c>
      <x:c r="C2" s="36" t="str">
        <x:v>Motor</x:v>
      </x:c>
      <x:c r="D2" s="36" t="str">
        <x:v>24 V BLDC/PMSM motor + redüktör</x:v>
      </x:c>
      <x:c r="E2" s="36" t="str">
        <x:v>StepperOnline F55B150-24GU-30S/5GU5KB</x:v>
      </x:c>
      <x:c r="F2" s="36" t="str">
        <x:v>Zorunlu</x:v>
      </x:c>
      <x:c r="G2" s="36" t="str">
        <x:v>Evet</x:v>
      </x:c>
      <x:c r="H2" s="36" t="n">
        <x:v>1</x:v>
      </x:c>
      <x:c r="I2" s="36" t="str">
        <x:v>24 VDC; 150 W; 3-faz; Hall sensörü; 600 rpm çıkış; 1.95 N·m nominal tork; 8 A nominal akım; 5:1 redüktör; Ø15 mm kamalı mil</x:v>
      </x:c>
      <x:c r="J2" s="36" t="str">
        <x:v>Motor, sürücünün 24 V çalışma bölgesine uygun olmalı; Hall sinyalleri erişilebilir olmalı; nominal akım güç kaynağını aşmamalı.</x:v>
      </x:c>
      <x:c r="K2" s="36" t="str">
        <x:v>Gerçek zamanlı hız ve tork kontrolünün ana eyleyicisidir; FOC/kaskad akım-hız kontrolünün deneysel doğrulamasını sağlar.</x:v>
      </x:c>
      <x:c r="L2" s="36" t="str">
        <x:v>3 faz U-V-W + Hall A/B/C + 5 V/GND</x:v>
      </x:c>
      <x:c r="M2" s="38" t="n">
        <x:v>2181.78</x:v>
      </x:c>
      <x:c r="N2" s="38" t="n">
        <x:f>IF(G2="Evet",H2*M2,0)</x:f>
        <x:v>2181.78</x:v>
      </x:c>
      <x:c r="O2" s="36" t="str">
        <x:v>Güncel ürün fiyatı</x:v>
      </x:c>
      <x:c r="P2" s="36" t="str">
        <x:v>https://www.stepperonline.com.tr/24v-150w-600rpm-disli-fircasiz-dc-motor-1-95nm-276-14oz-in-5-1-duz-sanziman-f55b150-24gu-30s-5gu5kb</x:v>
      </x:c>
      <x:c r="Q2" s="36" t="str">
        <x:v>600 rpm seçimi, 160 mm diskli manuel yük düzeneğinde güvenlik ve ölçülebilirlik için uygundur.</x:v>
      </x:c>
      <x:c r="R2"/>
    </x:row>
    <x:row r="3" ht="78" customHeight="1">
      <x:c r="A3" s="36" t="n">
        <x:v>2</x:v>
      </x:c>
      <x:c r="B3" s="36" t="str">
        <x:v>Tahrik</x:v>
      </x:c>
      <x:c r="C3" s="36" t="str">
        <x:v>Sürücü + MCU</x:v>
      </x:c>
      <x:c r="D3" s="36" t="str">
        <x:v>STM32G431 tabanlı 3-faz FOC sürücü</x:v>
      </x:c>
      <x:c r="E3" s="36" t="str">
        <x:v>ST B-G431B-ESC1</x:v>
      </x:c>
      <x:c r="F3" s="36" t="str">
        <x:v>Zorunlu</x:v>
      </x:c>
      <x:c r="G3" s="36" t="str">
        <x:v>Evet</x:v>
      </x:c>
      <x:c r="H3" s="36" t="n">
        <x:v>1</x:v>
      </x:c>
      <x:c r="I3" s="36" t="str">
        <x:v>STM32G431CB; 3-faz BLDC/PMSM; sensorless FOC + 6-step; Hall/encoder desteği; 3-shunt akım ölçümü; CAN/UART/PWM; OCP/OVP/termal koruma</x:v>
      </x:c>
      <x:c r="J3" s="36" t="str">
        <x:v>24 V beslemede çalışmalı; motorun 8 A nominal akımını güvenli soğutmayla sürebilmeli; ST-LINK üzerinden programlanabilmeli.</x:v>
      </x:c>
      <x:c r="K3" s="36" t="str">
        <x:v>FOC, akım/tork PI döngüleri, hız PI, PWM üretimi, akım örnekleme, Hall geri besleme ve gerçek zamanlı algoritma yürütme.</x:v>
      </x:c>
      <x:c r="L3" s="36" t="str">
        <x:v>24 VDC giriş; U-V-W; Hall/encoder; USB/ST-LINK; UART/CAN</x:v>
      </x:c>
      <x:c r="M3" s="38" t="n">
        <x:v>3017.09</x:v>
      </x:c>
      <x:c r="N3" s="38" t="n">
        <x:f>IF(G3="Evet",H3*M3,0)</x:f>
        <x:v>3017.09</x:v>
      </x:c>
      <x:c r="O3" s="36" t="str">
        <x:v>Güncel Türkiye tedarik fiyatı</x:v>
      </x:c>
      <x:c r="P3" s="36" t="str">
        <x:v>https://www.e-komponent.com/stm32g431-motor-controller-driver-power-management-evaluation-board</x:v>
      </x:c>
      <x:c r="Q3" s="36" t="str">
        <x:v>Kartın 40 A tepe kapasitesi havalandırmalı koşullara bağlıdır; bu projede akım limiti motor nominalinin yakınında tutulmalıdır.</x:v>
      </x:c>
      <x:c r="R3"/>
    </x:row>
    <x:row r="4" ht="78" customHeight="1">
      <x:c r="A4" s="36" t="n">
        <x:v>3</x:v>
      </x:c>
      <x:c r="B4" s="36" t="str">
        <x:v>Güç</x:v>
      </x:c>
      <x:c r="C4" s="36" t="str">
        <x:v>DC güç kaynağı</x:v>
      </x:c>
      <x:c r="D4" s="36" t="str">
        <x:v>24 V / 10 A / 240 W SMPS</x:v>
      </x:c>
      <x:c r="E4" s="36" t="str">
        <x:v>24V 10A metal kasa adaptör</x:v>
      </x:c>
      <x:c r="F4" s="36" t="str">
        <x:v>Zorunlu</x:v>
      </x:c>
      <x:c r="G4" s="36" t="str">
        <x:v>Evet</x:v>
      </x:c>
      <x:c r="H4" s="36" t="n">
        <x:v>1</x:v>
      </x:c>
      <x:c r="I4" s="36" t="str">
        <x:v>230 VAC giriş; 24 VDC çıkış; en az 10 A; 240 W; kısa devre/aşırı yük koruması</x:v>
      </x:c>
      <x:c r="J4" s="36" t="str">
        <x:v>150 W motor + sürücü kayıpları için en az %30 güç marjı; korumalı ve topraklanabilir metal kasa.</x:v>
      </x:c>
      <x:c r="K4" s="36" t="str">
        <x:v>Motor sürücüsü ve DC barayı besler.</x:v>
      </x:c>
      <x:c r="L4" s="36" t="str">
        <x:v>230 VAC → 24 VDC</x:v>
      </x:c>
      <x:c r="M4" s="38" t="n">
        <x:v>650</x:v>
      </x:c>
      <x:c r="N4" s="38" t="n">
        <x:f>IF(G4="Evet",H4*M4,0)</x:f>
        <x:v>650</x:v>
      </x:c>
      <x:c r="O4" s="36" t="str">
        <x:v>Güncel piyasa fiyatı</x:v>
      </x:c>
      <x:c r="P4" s="36" t="str">
        <x:v>https://www.n11.com/urun/24v-10a-240w-metal-kasa-adaptor-helios-19125317</x:v>
      </x:c>
      <x:c r="Q4" s="36" t="str">
        <x:v>Şebeke tarafı bağlantısı öğrenciler tarafından değil laboratuvar sorumlusu gözetiminde yapılmalıdır.</x:v>
      </x:c>
      <x:c r="R4"/>
    </x:row>
    <x:row r="5" ht="78" customHeight="1">
      <x:c r="A5" s="36" t="n">
        <x:v>4</x:v>
      </x:c>
      <x:c r="B5" s="36" t="str">
        <x:v>Mekanik Yük</x:v>
      </x:c>
      <x:c r="C5" s="36" t="str">
        <x:v>Fren</x:v>
      </x:c>
      <x:c r="D5" s="36" t="str">
        <x:v>160 mm mekanik disk fren seti</x:v>
      </x:c>
      <x:c r="E5" s="36" t="str">
        <x:v>160 mm rotor + mekanik kaliper</x:v>
      </x:c>
      <x:c r="F5" s="36" t="str">
        <x:v>Zorunlu</x:v>
      </x:c>
      <x:c r="G5" s="36" t="str">
        <x:v>Evet</x:v>
      </x:c>
      <x:c r="H5" s="36" t="n">
        <x:v>1</x:v>
      </x:c>
      <x:c r="I5" s="36" t="str">
        <x:v>160 mm çelik rotor; mekanik kaliper; balata; 6-cıvatalı rotor</x:v>
      </x:c>
      <x:c r="J5" s="36" t="str">
        <x:v>600 rpm'de güvenli mekanik sabitleme; sürekli uzun süreli tam yük yerine kısa süreli deneyler; rotor sıcaklığı izlenmeli.</x:v>
      </x:c>
      <x:c r="K5" s="36" t="str">
        <x:v>Sabit, basamak ve değişken mekanik yük senaryolarını düşük maliyetle üretir.</x:v>
      </x:c>
      <x:c r="L5" s="36" t="str">
        <x:v>Mil adaptörü + mekanik ayar kolu</x:v>
      </x:c>
      <x:c r="M5" s="38" t="n">
        <x:v>445</x:v>
      </x:c>
      <x:c r="N5" s="38" t="n">
        <x:f>IF(G5="Evet",H5*M5,0)</x:f>
        <x:v>445</x:v>
      </x:c>
      <x:c r="O5" s="36" t="str">
        <x:v>Güncel kampanya/piyasa fiyatı</x:v>
      </x:c>
      <x:c r="P5" s="36" t="str">
        <x:v>https://www.trendyol.com/asroya/bisiklet-mekanik-disk-fren-kaliper-seti-kaliper-rotor-160mm-6-vidali-balatalı-p-332795148</x:v>
      </x:c>
      <x:c r="Q5" s="36" t="str">
        <x:v>Fren yükü deneylerinde koruyucu muhafaza zorunludur.</x:v>
      </x:c>
      <x:c r="R5"/>
    </x:row>
    <x:row r="6" ht="78" customHeight="1">
      <x:c r="A6" s="36" t="n">
        <x:v>5</x:v>
      </x:c>
      <x:c r="B6" s="36" t="str">
        <x:v>Ölçüm</x:v>
      </x:c>
      <x:c r="C6" s="36" t="str">
        <x:v>Tork ölçümü</x:v>
      </x:c>
      <x:c r="D6" s="36" t="str">
        <x:v>20 kg load cell + HX711</x:v>
      </x:c>
      <x:c r="E6" s="36" t="str">
        <x:v>20 kg yük hücresi + 24-bit HX711</x:v>
      </x:c>
      <x:c r="F6" s="36" t="str">
        <x:v>Zorunlu</x:v>
      </x:c>
      <x:c r="G6" s="36" t="str">
        <x:v>Evet</x:v>
      </x:c>
      <x:c r="H6" s="36" t="n">
        <x:v>1</x:v>
      </x:c>
      <x:c r="I6" s="36" t="str">
        <x:v>20 kg kapasite; HX711 24-bit ADC; 10/80 SPS; yük hücresi nominal çıkış ~1 mV/V</x:v>
      </x:c>
      <x:c r="J6" s="36" t="str">
        <x:v>Kalibrasyon ağırlıklarıyla sıfır ve ölçek katsayısı belirlenmeli; mekanik kol boyu hassas ölçülmeli.</x:v>
      </x:c>
      <x:c r="K6" s="36" t="str">
        <x:v>Fren reaksiyon kolundaki kuvveti ölçerek T = F·L ile mekanik yük torkunu hesaplar.</x:v>
      </x:c>
      <x:c r="L6" s="36" t="str">
        <x:v>Load cell → HX711 → MCU/PC</x:v>
      </x:c>
      <x:c r="M6" s="38" t="n">
        <x:v>232.47</x:v>
      </x:c>
      <x:c r="N6" s="38" t="n">
        <x:f>IF(G6="Evet",H6*M6,0)</x:f>
        <x:v>232.47</x:v>
      </x:c>
      <x:c r="O6" s="36" t="str">
        <x:v>Güncel ürün fiyatı</x:v>
      </x:c>
      <x:c r="P6" s="36" t="str">
        <x:v>https://www.direnc.net/dijital-yuk-hucresi-agirlik-sensoru-20kg-hx711</x:v>
      </x:c>
      <x:c r="Q6" s="36" t="str">
        <x:v>100 mm reaksiyon kolunda 20 kg hücre teorik olarak ~19.6 N·m üst sınıra karşılık gelir; proje motoru için geniş marj vardır.</x:v>
      </x:c>
      <x:c r="R6"/>
    </x:row>
    <x:row r="7" ht="78" customHeight="1">
      <x:c r="A7" s="36" t="n">
        <x:v>6</x:v>
      </x:c>
      <x:c r="B7" s="36" t="str">
        <x:v>Mekanik Yük</x:v>
      </x:c>
      <x:c r="C7" s="36" t="str">
        <x:v>Adaptör</x:v>
      </x:c>
      <x:c r="D7" s="36" t="str">
        <x:v>Rotor-mil adaptör göbeği</x:v>
      </x:c>
      <x:c r="E7" s="36" t="str">
        <x:v>Ø15 mm kamalı mil → 6 delikli rotor göbeği</x:v>
      </x:c>
      <x:c r="F7" s="36" t="str">
        <x:v>Zorunlu</x:v>
      </x:c>
      <x:c r="G7" s="36" t="str">
        <x:v>Evet</x:v>
      </x:c>
      <x:c r="H7" s="36" t="n">
        <x:v>1</x:v>
      </x:c>
      <x:c r="I7" s="36" t="str">
        <x:v>Çelik/alüminyum; Ø15 mm kamalı delik; rotor için 6-cıvatalı flanş; balanslı imalat</x:v>
      </x:c>
      <x:c r="J7" s="36" t="str">
        <x:v>Mil üzerinde boşluksuz ve eksen kaçıklığı düşük olmalı; set-screw tek başına kullanılmamalı, kamalı/kelepçeli yapı tercih edilmeli.</x:v>
      </x:c>
      <x:c r="K7" s="36" t="str">
        <x:v>Bisiklet rotorunu motor çıkış miline güvenli biçimde bağlar.</x:v>
      </x:c>
      <x:c r="L7" s="36" t="str">
        <x:v>Ø15 mm motor mili → 160 mm rotor</x:v>
      </x:c>
      <x:c r="M7" s="38" t="n">
        <x:v>400</x:v>
      </x:c>
      <x:c r="N7" s="38" t="n">
        <x:f>IF(G7="Evet",H7*M7,0)</x:f>
        <x:v>400</x:v>
      </x:c>
      <x:c r="O7" s="36" t="str">
        <x:v>Yerel imalat tahmini</x:v>
      </x:c>
      <x:c r="P7" s="36" t="str"/>
      <x:c r="Q7" s="36" t="str">
        <x:v>Torna/CNC veya üniversite atölyesinde üretim; gerçek maliyet atölye imkânına göre düşebilir.</x:v>
      </x:c>
      <x:c r="R7"/>
    </x:row>
    <x:row r="8" ht="78" customHeight="1">
      <x:c r="A8" s="36" t="n">
        <x:v>7</x:v>
      </x:c>
      <x:c r="B8" s="36" t="str">
        <x:v>Mekanik Yük</x:v>
      </x:c>
      <x:c r="C8" s="36" t="str">
        <x:v>Tork kolu</x:v>
      </x:c>
      <x:c r="D8" s="36" t="str">
        <x:v>100 mm reaksiyon kolu + mafsallı bağlantı</x:v>
      </x:c>
      <x:c r="E8" s="36" t="str">
        <x:v>Alüminyum/çelik lama</x:v>
      </x:c>
      <x:c r="F8" s="36" t="str">
        <x:v>Zorunlu</x:v>
      </x:c>
      <x:c r="G8" s="36" t="str">
        <x:v>Evet</x:v>
      </x:c>
      <x:c r="H8" s="36" t="n">
        <x:v>1</x:v>
      </x:c>
      <x:c r="I8" s="36" t="str">
        <x:v>Etkin kol uzunluğu 100.0 ±0.5 mm; rijit profil; yük hücresine eksenel kuvvet aktarımı</x:v>
      </x:c>
      <x:c r="J8" s="36" t="str">
        <x:v>Kol uzunluğu merkezden yük hücresi kuvvet hattına ölçülmeli; bükülme ve yan yük minimum olmalı.</x:v>
      </x:c>
      <x:c r="K8" s="36" t="str">
        <x:v>Kaliper reaksiyon torkunu load cell'e aktarır; tork hesabını fiziksel olarak izlenebilir yapar.</x:v>
      </x:c>
      <x:c r="L8" s="36" t="str">
        <x:v>Kaliper taşıyıcı → load cell</x:v>
      </x:c>
      <x:c r="M8" s="38" t="n">
        <x:v>150</x:v>
      </x:c>
      <x:c r="N8" s="38" t="n">
        <x:f>IF(G8="Evet",H8*M8,0)</x:f>
        <x:v>150</x:v>
      </x:c>
      <x:c r="O8" s="36" t="str">
        <x:v>Yerel malzeme tahmini</x:v>
      </x:c>
      <x:c r="P8" s="36" t="str"/>
      <x:c r="Q8" s="36" t="str">
        <x:v>Tork = F·L hesabında L değeri raporda kalibrasyonla doğrulanmalıdır.</x:v>
      </x:c>
      <x:c r="R8"/>
    </x:row>
    <x:row r="9" ht="78" customHeight="1">
      <x:c r="A9" s="36" t="n">
        <x:v>8</x:v>
      </x:c>
      <x:c r="B9" s="36" t="str">
        <x:v>Mekanik Yük</x:v>
      </x:c>
      <x:c r="C9" s="36" t="str">
        <x:v>Yük ayarı</x:v>
      </x:c>
      <x:c r="D9" s="36" t="str">
        <x:v>Bowden tel / ayar vidası / el çarkı</x:v>
      </x:c>
      <x:c r="E9" s="36" t="str">
        <x:v>M6/M8 ayar vidası + yay veya bisiklet fren teli</x:v>
      </x:c>
      <x:c r="F9" s="36" t="str">
        <x:v>Zorunlu</x:v>
      </x:c>
      <x:c r="G9" s="36" t="str">
        <x:v>Evet</x:v>
      </x:c>
      <x:c r="H9" s="36" t="n">
        <x:v>1</x:v>
      </x:c>
      <x:c r="I9" s="36" t="str">
        <x:v>İnce ayar yapılabilir; titreşimde gevşemeyen mekanizma; kilit somunu</x:v>
      </x:c>
      <x:c r="J9" s="36" t="str">
        <x:v>Yük artışı kademeli olmalı; kullanıcı dönen parçalardan uzakta yükü değiştirebilmeli.</x:v>
      </x:c>
      <x:c r="K9" s="36" t="str">
        <x:v>Fren kuvvetini güvenli şekilde değiştirerek basamak veya quasi-statik yük senaryosu oluşturur.</x:v>
      </x:c>
      <x:c r="L9" s="36" t="str">
        <x:v>Manuel mekanik ayar</x:v>
      </x:c>
      <x:c r="M9" s="38" t="n">
        <x:v>150</x:v>
      </x:c>
      <x:c r="N9" s="38" t="n">
        <x:f>IF(G9="Evet",H9*M9,0)</x:f>
        <x:v>150</x:v>
      </x:c>
      <x:c r="O9" s="36" t="str">
        <x:v>Tahmini</x:v>
      </x:c>
      <x:c r="P9" s="36" t="str"/>
      <x:c r="Q9" s="36" t="str">
        <x:v>Basamak yük için iki ön ayarlı mekanik durak kullanılabilir.</x:v>
      </x:c>
      <x:c r="R9"/>
    </x:row>
    <x:row r="10" ht="78" customHeight="1">
      <x:c r="A10" s="36" t="n">
        <x:v>9</x:v>
      </x:c>
      <x:c r="B10" s="36" t="str">
        <x:v>Mekanik</x:v>
      </x:c>
      <x:c r="C10" s="36" t="str">
        <x:v>Motor montajı</x:v>
      </x:c>
      <x:c r="D10" s="36" t="str">
        <x:v>Motor L braketi / flanş plakası</x:v>
      </x:c>
      <x:c r="E10" s="36" t="str">
        <x:v>90×90 mm motor flanşına uygun</x:v>
      </x:c>
      <x:c r="F10" s="36" t="str">
        <x:v>Zorunlu</x:v>
      </x:c>
      <x:c r="G10" s="36" t="str">
        <x:v>Evet</x:v>
      </x:c>
      <x:c r="H10" s="36" t="n">
        <x:v>1</x:v>
      </x:c>
      <x:c r="I10" s="36" t="str">
        <x:v>En az 3 mm çelik veya 5 mm alüminyum; motor flanş deliklerine uygun</x:v>
      </x:c>
      <x:c r="J10" s="36" t="str">
        <x:v>Motor ekseni tabana paralel; bağlantı gevşememeli; titreşimde şekil değiştirmemeli.</x:v>
      </x:c>
      <x:c r="K10" s="36" t="str">
        <x:v>Motoru test tezgâhına rijit bağlar.</x:v>
      </x:c>
      <x:c r="L10" s="36" t="str">
        <x:v>Motor gövdesi → taban</x:v>
      </x:c>
      <x:c r="M10" s="38" t="n">
        <x:v>250</x:v>
      </x:c>
      <x:c r="N10" s="38" t="n">
        <x:f>IF(G10="Evet",H10*M10,0)</x:f>
        <x:v>250</x:v>
      </x:c>
      <x:c r="O10" s="36" t="str">
        <x:v>Yerel imalat tahmini</x:v>
      </x:c>
      <x:c r="P10" s="36" t="str"/>
      <x:c r="Q10" s="36" t="str">
        <x:v>Lazer kesim/büküm veya hazır köşebent ile yapılabilir.</x:v>
      </x:c>
      <x:c r="R10"/>
    </x:row>
    <x:row r="11" ht="78" customHeight="1">
      <x:c r="A11" s="36" t="n">
        <x:v>10</x:v>
      </x:c>
      <x:c r="B11" s="36" t="str">
        <x:v>Mekanik</x:v>
      </x:c>
      <x:c r="C11" s="36" t="str">
        <x:v>Tezgâh</x:v>
      </x:c>
      <x:c r="D11" s="36" t="str">
        <x:v>18–20 mm kontrplak/MDF taban + metal takviye</x:v>
      </x:c>
      <x:c r="E11" s="36" t="str">
        <x:v>Yaklaşık 600×300 mm</x:v>
      </x:c>
      <x:c r="F11" s="36" t="str">
        <x:v>Zorunlu</x:v>
      </x:c>
      <x:c r="G11" s="36" t="str">
        <x:v>Evet</x:v>
      </x:c>
      <x:c r="H11" s="36" t="n">
        <x:v>1</x:v>
      </x:c>
      <x:c r="I11" s="36" t="str">
        <x:v>Rijit taban; motor/fren arası hizalama için slotlu delikler; metal L profille takviye</x:v>
      </x:c>
      <x:c r="J11" s="36" t="str">
        <x:v>Döner sistem rezonansını ve hizasızlığı azaltacak rijitlikte olmalı; masa üzerine kelepçelenmeli.</x:v>
      </x:c>
      <x:c r="K11" s="36" t="str">
        <x:v>Motor, fren, load cell ve muhafazayı tek referans yüzeyde taşır.</x:v>
      </x:c>
      <x:c r="L11" s="36" t="str">
        <x:v>Mekanik yapı</x:v>
      </x:c>
      <x:c r="M11" s="38" t="n">
        <x:v>400</x:v>
      </x:c>
      <x:c r="N11" s="38" t="n">
        <x:f>IF(G11="Evet",H11*M11,0)</x:f>
        <x:v>400</x:v>
      </x:c>
      <x:c r="O11" s="36" t="str">
        <x:v>Tahmini</x:v>
      </x:c>
      <x:c r="P11" s="36" t="str"/>
      <x:c r="Q11" s="36" t="str">
        <x:v>Atölyede mevcut malzeme kullanılırsa maliyet büyük ölçüde düşer.</x:v>
      </x:c>
      <x:c r="R11"/>
    </x:row>
    <x:row r="12" ht="78" customHeight="1">
      <x:c r="A12" s="36" t="n">
        <x:v>11</x:v>
      </x:c>
      <x:c r="B12" s="36" t="str">
        <x:v>Mekanik</x:v>
      </x:c>
      <x:c r="C12" s="36" t="str">
        <x:v>Muhafaza</x:v>
      </x:c>
      <x:c r="D12" s="36" t="str">
        <x:v>Şeffaf polikarbon/pleksi döner parça koruyucusu</x:v>
      </x:c>
      <x:c r="E12" s="36" t="str">
        <x:v>3–4 mm şeffaf panel</x:v>
      </x:c>
      <x:c r="F12" s="36" t="str">
        <x:v>Zorunlu</x:v>
      </x:c>
      <x:c r="G12" s="36" t="str">
        <x:v>Evet</x:v>
      </x:c>
      <x:c r="H12" s="36" t="n">
        <x:v>1</x:v>
      </x:c>
      <x:c r="I12" s="36" t="str">
        <x:v>Rotor ve mil etrafını en az 3 taraftan kapatan şeffaf muhafaza</x:v>
      </x:c>
      <x:c r="J12" s="36" t="str">
        <x:v>Dönen rotor, kaplin ve olası kopma parçalarına doğrudan erişim engellenmeli.</x:v>
      </x:c>
      <x:c r="K12" s="36" t="str">
        <x:v>Öğrenci güvenliği; temas ve parçacık fırlaması riskini azaltır.</x:v>
      </x:c>
      <x:c r="L12" s="36" t="str">
        <x:v>Tezgâh üzerine sabit koruyucu</x:v>
      </x:c>
      <x:c r="M12" s="38" t="n">
        <x:v>300</x:v>
      </x:c>
      <x:c r="N12" s="38" t="n">
        <x:f>IF(G12="Evet",H12*M12,0)</x:f>
        <x:v>300</x:v>
      </x:c>
      <x:c r="O12" s="36" t="str">
        <x:v>Tahmini</x:v>
      </x:c>
      <x:c r="P12" s="36" t="str"/>
      <x:c r="Q12" s="36" t="str">
        <x:v>Pleksi darbede kırılgan olabilir; mümkünse polikarbon tercih edilir.</x:v>
      </x:c>
      <x:c r="R12"/>
    </x:row>
    <x:row r="13" ht="78" customHeight="1">
      <x:c r="A13" s="36" t="n">
        <x:v>12</x:v>
      </x:c>
      <x:c r="B13" s="36" t="str">
        <x:v>Mekanik</x:v>
      </x:c>
      <x:c r="C13" s="36" t="str">
        <x:v>Titreşim</x:v>
      </x:c>
      <x:c r="D13" s="36" t="str">
        <x:v>Kauçuk ayak ve masa kelepçesi</x:v>
      </x:c>
      <x:c r="E13" s="36" t="str">
        <x:v>4 kauçuk ayak + 2 kelepçe</x:v>
      </x:c>
      <x:c r="F13" s="36" t="str">
        <x:v>Önerilen</x:v>
      </x:c>
      <x:c r="G13" s="36" t="str">
        <x:v>Evet</x:v>
      </x:c>
      <x:c r="H13" s="36" t="n">
        <x:v>1</x:v>
      </x:c>
      <x:c r="I13" s="36" t="str">
        <x:v>Titreşim sönümleyici ayaklar; tabanı masaya sabitleyen kelepçe</x:v>
      </x:c>
      <x:c r="J13" s="36" t="str">
        <x:v>Tezgâh çalışma sırasında yürümemeli/kaymamalı.</x:v>
      </x:c>
      <x:c r="K13" s="36" t="str">
        <x:v>Titreşim ve hareket riskini azaltır.</x:v>
      </x:c>
      <x:c r="L13" s="36" t="str">
        <x:v>Taban → laboratuvar masası</x:v>
      </x:c>
      <x:c r="M13" s="38" t="n">
        <x:v>150</x:v>
      </x:c>
      <x:c r="N13" s="38" t="n">
        <x:f>IF(G13="Evet",H13*M13,0)</x:f>
        <x:v>150</x:v>
      </x:c>
      <x:c r="O13" s="36" t="str">
        <x:v>Tahmini</x:v>
      </x:c>
      <x:c r="P13" s="36" t="str"/>
      <x:c r="Q13" s="36" t="str"/>
      <x:c r="R13"/>
    </x:row>
    <x:row r="14" ht="78" customHeight="1">
      <x:c r="A14" s="36" t="n">
        <x:v>13</x:v>
      </x:c>
      <x:c r="B14" s="36" t="str">
        <x:v>Güvenlik</x:v>
      </x:c>
      <x:c r="C14" s="36" t="str">
        <x:v>Acil durdurma</x:v>
      </x:c>
      <x:c r="D14" s="36" t="str">
        <x:v>22 mm mantar tip E-stop</x:v>
      </x:c>
      <x:c r="E14" s="36" t="str">
        <x:v>1NO+1NC / kilitlemeli</x:v>
      </x:c>
      <x:c r="F14" s="36" t="str">
        <x:v>Zorunlu</x:v>
      </x:c>
      <x:c r="G14" s="36" t="str">
        <x:v>Evet</x:v>
      </x:c>
      <x:c r="H14" s="36" t="n">
        <x:v>1</x:v>
      </x:c>
      <x:c r="I14" s="36" t="str">
        <x:v>Kilitlemeli mantar buton; en az 1 NC kontak; 22 mm panel tipi</x:v>
      </x:c>
      <x:c r="J14" s="36" t="str">
        <x:v>NC kontak sürücü enable/güç rölesini enerjisiz bırakacak fail-safe mantıkta kullanılmalı.</x:v>
      </x:c>
      <x:c r="K14" s="36" t="str">
        <x:v>Kontrol hatasında sistemi hızla enerjisiz veya torksuz duruma geçirir.</x:v>
      </x:c>
      <x:c r="L14" s="36" t="str">
        <x:v>E-stop → röle/enable zinciri</x:v>
      </x:c>
      <x:c r="M14" s="38" t="n">
        <x:v>346.5</x:v>
      </x:c>
      <x:c r="N14" s="38" t="n">
        <x:f>IF(G14="Evet",H14*M14,0)</x:f>
        <x:v>346.5</x:v>
      </x:c>
      <x:c r="O14" s="36" t="str">
        <x:v>Güncel ürün fiyatı</x:v>
      </x:c>
      <x:c r="P14" s="36" t="str">
        <x:v>https://www.motorobit.com/wd22m-q1-22mm-metal-emergency-stop-button-1no1nc</x:v>
      </x:c>
      <x:c r="Q14" s="36" t="str">
        <x:v>E-stop yalnız yazılımsal komut olmamalı; donanımsal kesme zincirine bağlı olmalıdır.</x:v>
      </x:c>
      <x:c r="R14"/>
    </x:row>
    <x:row r="15" ht="78" customHeight="1">
      <x:c r="A15" s="36" t="n">
        <x:v>14</x:v>
      </x:c>
      <x:c r="B15" s="36" t="str">
        <x:v>Güvenlik</x:v>
      </x:c>
      <x:c r="C15" s="36" t="str">
        <x:v>DC koruma</x:v>
      </x:c>
      <x:c r="D15" s="36" t="str">
        <x:v>15–20 A DC sigorta + sigorta yuvası</x:v>
      </x:c>
      <x:c r="E15" s="36" t="str">
        <x:v>Otomotiv bıçak sigorta veya DC fuse holder</x:v>
      </x:c>
      <x:c r="F15" s="36" t="str">
        <x:v>Zorunlu</x:v>
      </x:c>
      <x:c r="G15" s="36" t="str">
        <x:v>Evet</x:v>
      </x:c>
      <x:c r="H15" s="36" t="n">
        <x:v>1</x:v>
      </x:c>
      <x:c r="I15" s="36" t="str">
        <x:v>24 VDC; 15–20 A; DC kablo kesitine uygun</x:v>
      </x:c>
      <x:c r="J15" s="36" t="str">
        <x:v>PSU pozitif çıkışına mümkün olduğunca yakın yerleştirilmeli; nominal akım motor/sürücü sınırına göre seçilmeli.</x:v>
      </x:c>
      <x:c r="K15" s="36" t="str">
        <x:v>Kısa devre ve kablo aşırı akım riskini sınırlar.</x:v>
      </x:c>
      <x:c r="L15" s="36" t="str">
        <x:v>PSU +24 V hattı</x:v>
      </x:c>
      <x:c r="M15" s="38" t="n">
        <x:v>100</x:v>
      </x:c>
      <x:c r="N15" s="38" t="n">
        <x:f>IF(G15="Evet",H15*M15,0)</x:f>
        <x:v>100</x:v>
      </x:c>
      <x:c r="O15" s="36" t="str">
        <x:v>Tahmini</x:v>
      </x:c>
      <x:c r="P15" s="36" t="str"/>
      <x:c r="Q15" s="36" t="str">
        <x:v>Kesin sigorta değeri gerçek motor akım testinden sonra doğrulanmalıdır.</x:v>
      </x:c>
      <x:c r="R15"/>
    </x:row>
    <x:row r="16" ht="78" customHeight="1">
      <x:c r="A16" s="36" t="n">
        <x:v>15</x:v>
      </x:c>
      <x:c r="B16" s="36" t="str">
        <x:v>Güvenlik</x:v>
      </x:c>
      <x:c r="C16" s="36" t="str">
        <x:v>Güç kesme</x:v>
      </x:c>
      <x:c r="D16" s="36" t="str">
        <x:v>24 VDC 20–30 A röle/kontaktör</x:v>
      </x:c>
      <x:c r="E16" s="36" t="str">
        <x:v>Bobin gerilimi kontrol mimarisine uygun</x:v>
      </x:c>
      <x:c r="F16" s="36" t="str">
        <x:v>Zorunlu</x:v>
      </x:c>
      <x:c r="G16" s="36" t="str">
        <x:v>Evet</x:v>
      </x:c>
      <x:c r="H16" s="36" t="n">
        <x:v>1</x:v>
      </x:c>
      <x:c r="I16" s="36" t="str">
        <x:v>Kontak akımı ≥20 A DC; bobin 12/24 V; tercihen otomotiv tipi veya DC-rated kontaktör</x:v>
      </x:c>
      <x:c r="J16" s="36" t="str">
        <x:v>E-stop ile sürücü DC barası veya enable hattını güvenli şekilde kesebilmeli.</x:v>
      </x:c>
      <x:c r="K16" s="36" t="str">
        <x:v>Donanımsal acil güç kesme zinciri.</x:v>
      </x:c>
      <x:c r="L16" s="36" t="str">
        <x:v>E-stop → röle → DC bus</x:v>
      </x:c>
      <x:c r="M16" s="38" t="n">
        <x:v>150</x:v>
      </x:c>
      <x:c r="N16" s="38" t="n">
        <x:f>IF(G16="Evet",H16*M16,0)</x:f>
        <x:v>150</x:v>
      </x:c>
      <x:c r="O16" s="36" t="str">
        <x:v>Tahmini</x:v>
      </x:c>
      <x:c r="P16" s="36" t="str"/>
      <x:c r="Q16" s="36" t="str">
        <x:v>Kontakların DC kesme gerilimi üretici datasheet'iyle doğrulanmalıdır.</x:v>
      </x:c>
      <x:c r="R16"/>
    </x:row>
    <x:row r="17" ht="78" customHeight="1">
      <x:c r="A17" s="36" t="n">
        <x:v>16</x:v>
      </x:c>
      <x:c r="B17" s="36" t="str">
        <x:v>Güvenlik</x:v>
      </x:c>
      <x:c r="C17" s="36" t="str">
        <x:v>Şebeke girişi</x:v>
      </x:c>
      <x:c r="D17" s="36" t="str">
        <x:v>Sigortalı IEC giriş + güç kablosu</x:v>
      </x:c>
      <x:c r="E17" s="36" t="str">
        <x:v>C14 sigortalı/anahtarlı giriş</x:v>
      </x:c>
      <x:c r="F17" s="36" t="str">
        <x:v>Zorunlu</x:v>
      </x:c>
      <x:c r="G17" s="36" t="str">
        <x:v>Evet</x:v>
      </x:c>
      <x:c r="H17" s="36" t="n">
        <x:v>1</x:v>
      </x:c>
      <x:c r="I17" s="36" t="str">
        <x:v>250 VAC; ≥6 A; sigorta yuvalı; PE/toprak bağlantılı</x:v>
      </x:c>
      <x:c r="J17" s="36" t="str">
        <x:v>Şebeke terminalleri kapalı muhafaza içinde; PE metal PSU kasasına bağlanmalı.</x:v>
      </x:c>
      <x:c r="K17" s="36" t="str">
        <x:v>Güç kaynağının güvenli şebeke bağlantısını sağlar.</x:v>
      </x:c>
      <x:c r="L17" s="36" t="str">
        <x:v>230 VAC giriş</x:v>
      </x:c>
      <x:c r="M17" s="38" t="n">
        <x:v>120</x:v>
      </x:c>
      <x:c r="N17" s="38" t="n">
        <x:f>IF(G17="Evet",H17*M17,0)</x:f>
        <x:v>120</x:v>
      </x:c>
      <x:c r="O17" s="36" t="str">
        <x:v>Tahmini</x:v>
      </x:c>
      <x:c r="P17" s="36" t="str"/>
      <x:c r="Q17" s="36" t="str">
        <x:v>Şebeke kablolaması laboratuvar teknik personeli tarafından yapılmalıdır.</x:v>
      </x:c>
      <x:c r="R17"/>
    </x:row>
    <x:row r="18" ht="78" customHeight="1">
      <x:c r="A18" s="36" t="n">
        <x:v>17</x:v>
      </x:c>
      <x:c r="B18" s="36" t="str">
        <x:v>Güvenlik</x:v>
      </x:c>
      <x:c r="C18" s="36" t="str">
        <x:v>Elektrik muhafazası</x:v>
      </x:c>
      <x:c r="D18" s="36" t="str">
        <x:v>PSU/klemens için izole muhafaza ve terminal kapağı</x:v>
      </x:c>
      <x:c r="E18" s="36" t="str">
        <x:v>Havalandırmalı kutu</x:v>
      </x:c>
      <x:c r="F18" s="36" t="str">
        <x:v>Zorunlu</x:v>
      </x:c>
      <x:c r="G18" s="36" t="str">
        <x:v>Evet</x:v>
      </x:c>
      <x:c r="H18" s="36" t="n">
        <x:v>1</x:v>
      </x:c>
      <x:c r="I18" s="36" t="str">
        <x:v>IP20 veya daha iyi; 230 VAC terminallerine parmak erişimini engelleyen kapak; kablo rakorları</x:v>
      </x:c>
      <x:c r="J18" s="36" t="str">
        <x:v>Şebeke ve düşük gerilim bölümleri ayrılmalı; hava akışı engellenmemeli.</x:v>
      </x:c>
      <x:c r="K18" s="36" t="str">
        <x:v>Açık güç terminallerini öğrenciden izole eder.</x:v>
      </x:c>
      <x:c r="L18" s="36" t="str">
        <x:v>PSU + klemensler</x:v>
      </x:c>
      <x:c r="M18" s="38" t="n">
        <x:v>250</x:v>
      </x:c>
      <x:c r="N18" s="38" t="n">
        <x:f>IF(G18="Evet",H18*M18,0)</x:f>
        <x:v>250</x:v>
      </x:c>
      <x:c r="O18" s="36" t="str">
        <x:v>Tahmini</x:v>
      </x:c>
      <x:c r="P18" s="36" t="str"/>
      <x:c r="Q18" s="36" t="str"/>
      <x:c r="R18"/>
    </x:row>
    <x:row r="19" ht="78" customHeight="1">
      <x:c r="A19" s="36" t="n">
        <x:v>18</x:v>
      </x:c>
      <x:c r="B19" s="36" t="str">
        <x:v>Kablolama</x:v>
      </x:c>
      <x:c r="C19" s="36" t="str">
        <x:v>Güç kablosu</x:v>
      </x:c>
      <x:c r="D19" s="36" t="str">
        <x:v>2.5 mm² çok telli bakır kablo</x:v>
      </x:c>
      <x:c r="E19" s="36" t="str">
        <x:v>Kırmızı/siyah, toplam ~5 m</x:v>
      </x:c>
      <x:c r="F19" s="36" t="str">
        <x:v>Zorunlu</x:v>
      </x:c>
      <x:c r="G19" s="36" t="str">
        <x:v>Evet</x:v>
      </x:c>
      <x:c r="H19" s="36" t="n">
        <x:v>1</x:v>
      </x:c>
      <x:c r="I19" s="36" t="str">
        <x:v>En az 2.5 mm²; esnek çok telli; 24 VDC güç hattı</x:v>
      </x:c>
      <x:c r="J19" s="36" t="str">
        <x:v>10 A sürekli akımda düşük gerilim düşümü ve ısınma; uçlarda ferrül/pabuç.</x:v>
      </x:c>
      <x:c r="K19" s="36" t="str">
        <x:v>PSU-sürücü-motor güç bağlantıları.</x:v>
      </x:c>
      <x:c r="L19" s="36" t="str">
        <x:v>24 VDC güç hattı</x:v>
      </x:c>
      <x:c r="M19" s="38" t="n">
        <x:v>250</x:v>
      </x:c>
      <x:c r="N19" s="38" t="n">
        <x:f>IF(G19="Evet",H19*M19,0)</x:f>
        <x:v>250</x:v>
      </x:c>
      <x:c r="O19" s="36" t="str">
        <x:v>Tahmini</x:v>
      </x:c>
      <x:c r="P19" s="36" t="str"/>
      <x:c r="Q19" s="36" t="str"/>
      <x:c r="R19"/>
    </x:row>
    <x:row r="20" ht="78" customHeight="1">
      <x:c r="A20" s="36" t="n">
        <x:v>19</x:v>
      </x:c>
      <x:c r="B20" s="36" t="str">
        <x:v>Kablolama</x:v>
      </x:c>
      <x:c r="C20" s="36" t="str">
        <x:v>Sinyal kablosu</x:v>
      </x:c>
      <x:c r="D20" s="36" t="str">
        <x:v>0.22–0.5 mm² çok damarlı/siperli kablo</x:v>
      </x:c>
      <x:c r="E20" s="36" t="str">
        <x:v>Hall, load cell, UART</x:v>
      </x:c>
      <x:c r="F20" s="36" t="str">
        <x:v>Zorunlu</x:v>
      </x:c>
      <x:c r="G20" s="36" t="str">
        <x:v>Evet</x:v>
      </x:c>
      <x:c r="H20" s="36" t="n">
        <x:v>1</x:v>
      </x:c>
      <x:c r="I20" s="36" t="str">
        <x:v>Düşük akımlı sinyal kablosu; Hall/encoder için tercihen bükümlü/siperli</x:v>
      </x:c>
      <x:c r="J20" s="36" t="str">
        <x:v>Güç kablolarından ayrı güzergâh; tek noktadan ekran topraklaması gerekebilir.</x:v>
      </x:c>
      <x:c r="K20" s="36" t="str">
        <x:v>Hall, HX711, sıcaklık ve haberleşme sinyallerini taşır.</x:v>
      </x:c>
      <x:c r="L20" s="36" t="str">
        <x:v>Dijital/analog sinyal</x:v>
      </x:c>
      <x:c r="M20" s="38" t="n">
        <x:v>120</x:v>
      </x:c>
      <x:c r="N20" s="38" t="n">
        <x:f>IF(G20="Evet",H20*M20,0)</x:f>
        <x:v>120</x:v>
      </x:c>
      <x:c r="O20" s="36" t="str">
        <x:v>Tahmini</x:v>
      </x:c>
      <x:c r="P20" s="36" t="str"/>
      <x:c r="Q20" s="36" t="str"/>
      <x:c r="R20"/>
    </x:row>
    <x:row r="21" ht="78" customHeight="1">
      <x:c r="A21" s="36" t="n">
        <x:v>20</x:v>
      </x:c>
      <x:c r="B21" s="36" t="str">
        <x:v>Kablolama</x:v>
      </x:c>
      <x:c r="C21" s="36" t="str">
        <x:v>Klemens</x:v>
      </x:c>
      <x:c r="D21" s="36" t="str">
        <x:v>WAGO/klemens/dağıtım bloğu seti</x:v>
      </x:c>
      <x:c r="E21" s="36" t="str">
        <x:v>24 V ve GND dağıtımı</x:v>
      </x:c>
      <x:c r="F21" s="36" t="str">
        <x:v>Zorunlu</x:v>
      </x:c>
      <x:c r="G21" s="36" t="str">
        <x:v>Evet</x:v>
      </x:c>
      <x:c r="H21" s="36" t="n">
        <x:v>1</x:v>
      </x:c>
      <x:c r="I21" s="36" t="str">
        <x:v>En az 15 A akım taşıma; kablo kesitine uygun; dokunmaya karşı güvenli</x:v>
      </x:c>
      <x:c r="J21" s="36" t="str">
        <x:v>Gevşek breadboard/jumper kablo ile güç dağıtımı yapılmamalı.</x:v>
      </x:c>
      <x:c r="K21" s="36" t="str">
        <x:v>Güç ve sinyal bağlantılarını düzenli ve servis edilebilir yapar.</x:v>
      </x:c>
      <x:c r="L21" s="36" t="str">
        <x:v>Dağıtım</x:v>
      </x:c>
      <x:c r="M21" s="38" t="n">
        <x:v>150</x:v>
      </x:c>
      <x:c r="N21" s="38" t="n">
        <x:f>IF(G21="Evet",H21*M21,0)</x:f>
        <x:v>150</x:v>
      </x:c>
      <x:c r="O21" s="36" t="str">
        <x:v>Tahmini</x:v>
      </x:c>
      <x:c r="P21" s="36" t="str"/>
      <x:c r="Q21" s="36" t="str"/>
      <x:c r="R21"/>
    </x:row>
    <x:row r="22" ht="78" customHeight="1">
      <x:c r="A22" s="36" t="n">
        <x:v>21</x:v>
      </x:c>
      <x:c r="B22" s="36" t="str">
        <x:v>Kablolama</x:v>
      </x:c>
      <x:c r="C22" s="36" t="str">
        <x:v>Konnektör</x:v>
      </x:c>
      <x:c r="D22" s="36" t="str">
        <x:v>XT60 / kilitli güç konnektörü + JST sinyal seti</x:v>
      </x:c>
      <x:c r="E22" s="36" t="str">
        <x:v>2–3 güç, 1 Hall seti</x:v>
      </x:c>
      <x:c r="F22" s="36" t="str">
        <x:v>Önerilen</x:v>
      </x:c>
      <x:c r="G22" s="36" t="str">
        <x:v>Evet</x:v>
      </x:c>
      <x:c r="H22" s="36" t="n">
        <x:v>1</x:v>
      </x:c>
      <x:c r="I22" s="36" t="str">
        <x:v>Güç konnektörü ≥15 A; polarize; kilitli sinyal konnektörleri</x:v>
      </x:c>
      <x:c r="J22" s="36" t="str">
        <x:v>Ters polariteyi ve gevşek teması önlemeli.</x:v>
      </x:c>
      <x:c r="K22" s="36" t="str">
        <x:v>Modüler sök-tak ve bakım kolaylığı sağlar.</x:v>
      </x:c>
      <x:c r="L22" s="36" t="str">
        <x:v>Güç + Hall</x:v>
      </x:c>
      <x:c r="M22" s="38" t="n">
        <x:v>200</x:v>
      </x:c>
      <x:c r="N22" s="38" t="n">
        <x:f>IF(G22="Evet",H22*M22,0)</x:f>
        <x:v>200</x:v>
      </x:c>
      <x:c r="O22" s="36" t="str">
        <x:v>Tahmini</x:v>
      </x:c>
      <x:c r="P22" s="36" t="str"/>
      <x:c r="Q22" s="36" t="str"/>
      <x:c r="R22"/>
    </x:row>
    <x:row r="23" ht="78" customHeight="1">
      <x:c r="A23" s="36" t="n">
        <x:v>22</x:v>
      </x:c>
      <x:c r="B23" s="36" t="str">
        <x:v>Kablolama</x:v>
      </x:c>
      <x:c r="C23" s="36" t="str">
        <x:v>Uçlandırma</x:v>
      </x:c>
      <x:c r="D23" s="36" t="str">
        <x:v>Ferrül, pabuç, ısı makaronu, kablo bağı seti</x:v>
      </x:c>
      <x:c r="E23" s="36" t="str">
        <x:v>Karışık set</x:v>
      </x:c>
      <x:c r="F23" s="36" t="str">
        <x:v>Zorunlu</x:v>
      </x:c>
      <x:c r="G23" s="36" t="str">
        <x:v>Evet</x:v>
      </x:c>
      <x:c r="H23" s="36" t="n">
        <x:v>1</x:v>
      </x:c>
      <x:c r="I23" s="36" t="str">
        <x:v>2.5 mm² ve sinyal kablosu için uygun ferrül/pabuç; ısı makaronu</x:v>
      </x:c>
      <x:c r="J23" s="36" t="str">
        <x:v>Çıplak tel uç bırakılmamalı; mekanik strain relief sağlanmalı.</x:v>
      </x:c>
      <x:c r="K23" s="36" t="str">
        <x:v>Güvenilir ve güvenli kablo sonlandırması.</x:v>
      </x:c>
      <x:c r="L23" s="36" t="str">
        <x:v>Kablolama</x:v>
      </x:c>
      <x:c r="M23" s="38" t="n">
        <x:v>250</x:v>
      </x:c>
      <x:c r="N23" s="38" t="n">
        <x:f>IF(G23="Evet",H23*M23,0)</x:f>
        <x:v>250</x:v>
      </x:c>
      <x:c r="O23" s="36" t="str">
        <x:v>Tahmini</x:v>
      </x:c>
      <x:c r="P23" s="36" t="str"/>
      <x:c r="Q23" s="36" t="str"/>
      <x:c r="R23"/>
    </x:row>
    <x:row r="24" ht="78" customHeight="1">
      <x:c r="A24" s="36" t="n">
        <x:v>23</x:v>
      </x:c>
      <x:c r="B24" s="36" t="str">
        <x:v>Soğutma</x:v>
      </x:c>
      <x:c r="C24" s="36" t="str">
        <x:v>Fan</x:v>
      </x:c>
      <x:c r="D24" s="36" t="str">
        <x:v>24 V 80 mm fan + ızgara</x:v>
      </x:c>
      <x:c r="E24" s="36" t="str">
        <x:v>80×80 mm</x:v>
      </x:c>
      <x:c r="F24" s="36" t="str">
        <x:v>Önerilen</x:v>
      </x:c>
      <x:c r="G24" s="36" t="str">
        <x:v>Evet</x:v>
      </x:c>
      <x:c r="H24" s="36" t="n">
        <x:v>1</x:v>
      </x:c>
      <x:c r="I24" s="36" t="str">
        <x:v>24 VDC; 80 mm; koruyucu ızgara</x:v>
      </x:c>
      <x:c r="J24" s="36" t="str">
        <x:v>Sürücü kartı ve fren bölgesinde hava akışını artırmalı; kablolar fana temas etmemeli.</x:v>
      </x:c>
      <x:c r="K24" s="36" t="str">
        <x:v>Sürücü güç katı ve test tezgâhı sıcaklığını azaltır.</x:v>
      </x:c>
      <x:c r="L24" s="36" t="str">
        <x:v>24 VDC</x:v>
      </x:c>
      <x:c r="M24" s="38" t="n">
        <x:v>150</x:v>
      </x:c>
      <x:c r="N24" s="38" t="n">
        <x:f>IF(G24="Evet",H24*M24,0)</x:f>
        <x:v>150</x:v>
      </x:c>
      <x:c r="O24" s="36" t="str">
        <x:v>Tahmini</x:v>
      </x:c>
      <x:c r="P24" s="36" t="str"/>
      <x:c r="Q24" s="36" t="str"/>
      <x:c r="R24"/>
    </x:row>
    <x:row r="25" ht="78" customHeight="1">
      <x:c r="A25" s="36" t="n">
        <x:v>24</x:v>
      </x:c>
      <x:c r="B25" s="36" t="str">
        <x:v>Ölçüm</x:v>
      </x:c>
      <x:c r="C25" s="36" t="str">
        <x:v>DC güç ölçümü</x:v>
      </x:c>
      <x:c r="D25" s="36" t="str">
        <x:v>0–100 V, 0–10 A dijital wattmetre</x:v>
      </x:c>
      <x:c r="E25" s="36" t="str">
        <x:v>Panel tipi V/A/W metre</x:v>
      </x:c>
      <x:c r="F25" s="36" t="str">
        <x:v>Önerilen</x:v>
      </x:c>
      <x:c r="G25" s="36" t="str">
        <x:v>Evet</x:v>
      </x:c>
      <x:c r="H25" s="36" t="n">
        <x:v>1</x:v>
      </x:c>
      <x:c r="I25" s="36" t="str">
        <x:v>0–100 VDC; 0–10 A; 0–1000 W; yaklaşık ±1%</x:v>
      </x:c>
      <x:c r="J25" s="36" t="str">
        <x:v>Motor nominali 8 A olduğundan 10 A ölçüm sınırı yeterli fakat tepe akımlar için yazılımsal limit uygulanmalı.</x:v>
      </x:c>
      <x:c r="K25" s="36" t="str">
        <x:v>Giriş elektrik gücünü ölçerek enerji verimliliği η=Pmech/Pdc hesabını destekler.</x:v>
      </x:c>
      <x:c r="L25" s="36" t="str">
        <x:v>PSU ile sürücü arasına seri</x:v>
      </x:c>
      <x:c r="M25" s="38" t="n">
        <x:v>348.71</x:v>
      </x:c>
      <x:c r="N25" s="38" t="n">
        <x:f>IF(G25="Evet",H25*M25,0)</x:f>
        <x:v>348.71</x:v>
      </x:c>
      <x:c r="O25" s="36" t="str">
        <x:v>Güncel ürün fiyatı</x:v>
      </x:c>
      <x:c r="P25" s="36" t="str">
        <x:v>https://www.direnc.net/0-100v-10a-1000w-voltmetre-ampermetre-wattmetre</x:v>
      </x:c>
      <x:c r="Q25" s="36" t="str">
        <x:v>Tepe akımlar 10 A'yı aşacaksa 50 A Hall sensörlü ölçüm modülüne geçilmelidir.</x:v>
      </x:c>
      <x:c r="R25"/>
    </x:row>
    <x:row r="26" ht="78" customHeight="1">
      <x:c r="A26" s="36" t="n">
        <x:v>25</x:v>
      </x:c>
      <x:c r="B26" s="36" t="str">
        <x:v>Ölçüm</x:v>
      </x:c>
      <x:c r="C26" s="36" t="str">
        <x:v>Sıcaklık</x:v>
      </x:c>
      <x:c r="D26" s="36" t="str">
        <x:v>2 adet NTC/DS18B20 sıcaklık sensörü</x:v>
      </x:c>
      <x:c r="E26" s="36" t="str">
        <x:v>Motor gövdesi + sürücü soğutma bölgesi</x:v>
      </x:c>
      <x:c r="F26" s="36" t="str">
        <x:v>Önerilen</x:v>
      </x:c>
      <x:c r="G26" s="36" t="str">
        <x:v>Evet</x:v>
      </x:c>
      <x:c r="H26" s="36" t="n">
        <x:v>2</x:v>
      </x:c>
      <x:c r="I26" s="36" t="str">
        <x:v>0–100 °C aralığında ölçüm; elektriksel izolasyonlu montaj</x:v>
      </x:c>
      <x:c r="J26" s="36" t="str">
        <x:v>Sensörler dönen parçaya temas etmemeli; kablo sıcak yüzeyden uzak tutulmalı.</x:v>
      </x:c>
      <x:c r="K26" s="36" t="str">
        <x:v>Termal güvenlik ve uzun süreli yük testlerinde sıcaklık takibi.</x:v>
      </x:c>
      <x:c r="L26" s="36" t="str">
        <x:v>MCU/harici veri kaydı</x:v>
      </x:c>
      <x:c r="M26" s="38" t="n">
        <x:v>50</x:v>
      </x:c>
      <x:c r="N26" s="38" t="n">
        <x:f>IF(G26="Evet",H26*M26,0)</x:f>
        <x:v>100</x:v>
      </x:c>
      <x:c r="O26" s="36" t="str">
        <x:v>Tahmini</x:v>
      </x:c>
      <x:c r="P26" s="36" t="str"/>
      <x:c r="Q26" s="36" t="str"/>
      <x:c r="R26"/>
    </x:row>
    <x:row r="27" ht="78" customHeight="1">
      <x:c r="A27" s="36" t="n">
        <x:v>26</x:v>
      </x:c>
      <x:c r="B27" s="36" t="str">
        <x:v>Geliştirme</x:v>
      </x:c>
      <x:c r="C27" s="36" t="str">
        <x:v>Programlama kablosu</x:v>
      </x:c>
      <x:c r="D27" s="36" t="str">
        <x:v>USB kablosu</x:v>
      </x:c>
      <x:c r="E27" s="36" t="str">
        <x:v>ST-LINK bağlantısına uygun</x:v>
      </x:c>
      <x:c r="F27" s="36" t="str">
        <x:v>Zorunlu</x:v>
      </x:c>
      <x:c r="G27" s="36" t="str">
        <x:v>Evet</x:v>
      </x:c>
      <x:c r="H27" s="36" t="n">
        <x:v>1</x:v>
      </x:c>
      <x:c r="I27" s="36" t="str">
        <x:v>Veri + güç taşıyan USB kablosu</x:v>
      </x:c>
      <x:c r="J27" s="36" t="str">
        <x:v>Yalnız şarj kablosu olmamalı.</x:v>
      </x:c>
      <x:c r="K27" s="36" t="str">
        <x:v>Firmware yükleme, debug ve veri aktarımı.</x:v>
      </x:c>
      <x:c r="L27" s="36" t="str">
        <x:v>PC ↔ ST-LINK</x:v>
      </x:c>
      <x:c r="M27" s="38" t="n">
        <x:v>100</x:v>
      </x:c>
      <x:c r="N27" s="38" t="n">
        <x:f>IF(G27="Evet",H27*M27,0)</x:f>
        <x:v>100</x:v>
      </x:c>
      <x:c r="O27" s="36" t="str">
        <x:v>Tahmini</x:v>
      </x:c>
      <x:c r="P27" s="36" t="str"/>
      <x:c r="Q27" s="36" t="str"/>
      <x:c r="R27"/>
    </x:row>
    <x:row r="28" ht="78" customHeight="1">
      <x:c r="A28" s="36" t="n">
        <x:v>27</x:v>
      </x:c>
      <x:c r="B28" s="36" t="str">
        <x:v>Mekanik</x:v>
      </x:c>
      <x:c r="C28" s="36" t="str">
        <x:v>Bağlantı elemanları</x:v>
      </x:c>
      <x:c r="D28" s="36" t="str">
        <x:v>Cıvata, somun, rondela, nyloc, vida sabitleyici</x:v>
      </x:c>
      <x:c r="E28" s="36" t="str">
        <x:v>M3–M8 karışık set</x:v>
      </x:c>
      <x:c r="F28" s="36" t="str">
        <x:v>Zorunlu</x:v>
      </x:c>
      <x:c r="G28" s="36" t="str">
        <x:v>Evet</x:v>
      </x:c>
      <x:c r="H28" s="36" t="n">
        <x:v>1</x:v>
      </x:c>
      <x:c r="I28" s="36" t="str">
        <x:v>Titreşimli düzeneğe uygun kilit somun/rondela; rotor civatalarında uygun threadlocker</x:v>
      </x:c>
      <x:c r="J28" s="36" t="str">
        <x:v>Dönen parçaların bağlantısı tork anahtarı/uygun sıkma ile doğrulanmalı.</x:v>
      </x:c>
      <x:c r="K28" s="36" t="str">
        <x:v>Tezgâhın tüm mekanik montajı.</x:v>
      </x:c>
      <x:c r="L28" s="36" t="str">
        <x:v>Mekanik</x:v>
      </x:c>
      <x:c r="M28" s="38" t="n">
        <x:v>250</x:v>
      </x:c>
      <x:c r="N28" s="38" t="n">
        <x:f>IF(G28="Evet",H28*M28,0)</x:f>
        <x:v>250</x:v>
      </x:c>
      <x:c r="O28" s="36" t="str">
        <x:v>Tahmini</x:v>
      </x:c>
      <x:c r="P28" s="36" t="str"/>
      <x:c r="Q28" s="36" t="str"/>
      <x:c r="R28"/>
    </x:row>
    <x:row r="29" ht="78" customHeight="1">
      <x:c r="A29" s="36" t="n">
        <x:v>28</x:v>
      </x:c>
      <x:c r="B29" s="36" t="str">
        <x:v>Ölçüm</x:v>
      </x:c>
      <x:c r="C29" s="36" t="str">
        <x:v>Harici akım sensörü</x:v>
      </x:c>
      <x:c r="D29" s="36" t="str">
        <x:v>ACS758LCB 50 A Hall akım modülü</x:v>
      </x:c>
      <x:c r="E29" s="36" t="str">
        <x:v>50 A; 120 kHz</x:v>
      </x:c>
      <x:c r="F29" s="36" t="str">
        <x:v>Opsiyonel</x:v>
      </x:c>
      <x:c r="G29" s="36" t="str">
        <x:v>Hayır</x:v>
      </x:c>
      <x:c r="H29" s="36" t="n">
        <x:v>1</x:v>
      </x:c>
      <x:c r="I29" s="36" t="str">
        <x:v>3–5 V besleme; ±/0–50 A sınıfı; ~120 kHz bant genişliği</x:v>
      </x:c>
      <x:c r="J29" s="36" t="str">
        <x:v>Yüksek akım tepe değerlerini veri kaydı için ölçmek istenirse kullanılır.</x:v>
      </x:c>
      <x:c r="K29" s="36" t="str">
        <x:v>DC bara veya faz akımı için bağımsız doğrulama sensörü.</x:v>
      </x:c>
      <x:c r="L29" s="36" t="str">
        <x:v>Analog ADC</x:v>
      </x:c>
      <x:c r="M29" s="38" t="n">
        <x:v>415.8</x:v>
      </x:c>
      <x:c r="N29" s="38" t="n">
        <x:f>IF(G29="Evet",H29*M29,0)</x:f>
        <x:v>0</x:v>
      </x:c>
      <x:c r="O29" s="36" t="str">
        <x:v>Güncel ürün fiyatı</x:v>
      </x:c>
      <x:c r="P29" s="36" t="str">
        <x:v>https://www.motorobit.com/acs758lcb-50a-lineer-hall-akim-sensoru-modulu</x:v>
      </x:c>
      <x:c r="Q29" s="36" t="str">
        <x:v>B-G431B-ESC1 dahili faz akım ölçümü zaten vardır; bu sensör bağımsız doğrulama içindir.</x:v>
      </x:c>
      <x:c r="R29"/>
    </x:row>
    <x:row r="30" ht="78" customHeight="1">
      <x:c r="A30" s="36" t="n">
        <x:v>29</x:v>
      </x:c>
      <x:c r="B30" s="36" t="str">
        <x:v>Ölçüm</x:v>
      </x:c>
      <x:c r="C30" s="36" t="str">
        <x:v>Harici açı sensörü</x:v>
      </x:c>
      <x:c r="D30" s="36" t="str">
        <x:v>AS5600 manyetik enkoder modülü</x:v>
      </x:c>
      <x:c r="E30" s="36" t="str">
        <x:v>12-bit, I2C/analog/PWM</x:v>
      </x:c>
      <x:c r="F30" s="36" t="str">
        <x:v>Opsiyonel</x:v>
      </x:c>
      <x:c r="G30" s="36" t="str">
        <x:v>Hayır</x:v>
      </x:c>
      <x:c r="H30" s="36" t="n">
        <x:v>1</x:v>
      </x:c>
      <x:c r="I30" s="36" t="str">
        <x:v>12-bit; 0–360°; I2C + analog/PWM çıkış; temassız</x:v>
      </x:c>
      <x:c r="J30" s="36" t="str">
        <x:v>Motor Hall sensörünün düşük hız çözünürlüğü yetersiz kalırsa ek hız/konum ölçümü için mekanik hizalama gerekir.</x:v>
      </x:c>
      <x:c r="K30" s="36" t="str">
        <x:v>Düşük hızda daha yüksek çözünürlüklü hız/konum gözlemi.</x:v>
      </x:c>
      <x:c r="L30" s="36" t="str">
        <x:v>I2C/PWM</x:v>
      </x:c>
      <x:c r="M30" s="38" t="n">
        <x:v>160.38</x:v>
      </x:c>
      <x:c r="N30" s="38" t="n">
        <x:f>IF(G30="Evet",H30*M30,0)</x:f>
        <x:v>0</x:v>
      </x:c>
      <x:c r="O30" s="36" t="str">
        <x:v>Güncel ürün fiyatı</x:v>
      </x:c>
      <x:c r="P30" s="36" t="str">
        <x:v>https://www.motorobit.com/as5600-manyetik-induksiyon-acisi-olcum-sensoru</x:v>
      </x:c>
      <x:c r="Q30" s="36" t="str">
        <x:v>ST Motor Control SDK entegrasyonu özel sürücü kodu gerektirebilir; temel proje için Hall sensörü yeterlidir.</x:v>
      </x:c>
      <x:c r="R30"/>
    </x:row>
    <x:row r="31" ht="78" customHeight="1">
      <x:c r="A31" s="36" t="n">
        <x:v>30</x:v>
      </x:c>
      <x:c r="B31" s="36" t="str">
        <x:v>Haberleşme</x:v>
      </x:c>
      <x:c r="C31" s="36" t="str">
        <x:v>USB-UART</x:v>
      </x:c>
      <x:c r="D31" s="36" t="str">
        <x:v>USB-TTL dönüştürücü</x:v>
      </x:c>
      <x:c r="E31" s="36" t="str">
        <x:v>3.3 V TTL</x:v>
      </x:c>
      <x:c r="F31" s="36" t="str">
        <x:v>Opsiyonel</x:v>
      </x:c>
      <x:c r="G31" s="36" t="str">
        <x:v>Hayır</x:v>
      </x:c>
      <x:c r="H31" s="36" t="n">
        <x:v>1</x:v>
      </x:c>
      <x:c r="I31" s="36" t="str">
        <x:v>3.3 V lojik; USB-UART</x:v>
      </x:c>
      <x:c r="J31" s="36" t="str">
        <x:v>MCU ile PC arasında seri telemetri gerekiyorsa kullanılır.</x:v>
      </x:c>
      <x:c r="K31" s="36" t="str">
        <x:v>Hız, akım, tork ve hata verilerinin PC'ye kaydı.</x:v>
      </x:c>
      <x:c r="L31" s="36" t="str">
        <x:v>UART ↔ USB</x:v>
      </x:c>
      <x:c r="M31" s="38" t="n">
        <x:v>150</x:v>
      </x:c>
      <x:c r="N31" s="38" t="n">
        <x:f>IF(G31="Evet",H31*M31,0)</x:f>
        <x:v>0</x:v>
      </x:c>
      <x:c r="O31" s="36" t="str">
        <x:v>Tahmini</x:v>
      </x:c>
      <x:c r="P31" s="36" t="str"/>
      <x:c r="Q31" s="36" t="str"/>
      <x:c r="R31"/>
    </x:row>
    <x:row r="32" ht="78" customHeight="1">
      <x:c r="A32" s="36" t="n">
        <x:v>31</x:v>
      </x:c>
      <x:c r="B32" s="36" t="str">
        <x:v>Kalibrasyon</x:v>
      </x:c>
      <x:c r="C32" s="36" t="str">
        <x:v>Kalibrasyon kütleleri</x:v>
      </x:c>
      <x:c r="D32" s="36" t="str">
        <x:v>1 kg + 2 kg bilinen kütleler</x:v>
      </x:c>
      <x:c r="E32" s="36" t="str">
        <x:v>Sınıf gerektirmez, doğrulanmış kütle</x:v>
      </x:c>
      <x:c r="F32" s="36" t="str">
        <x:v>Önerilen</x:v>
      </x:c>
      <x:c r="G32" s="36" t="str">
        <x:v>Hayır</x:v>
      </x:c>
      <x:c r="H32" s="36" t="n">
        <x:v>1</x:v>
      </x:c>
      <x:c r="I32" s="36" t="str">
        <x:v>En az iki farklı bilinen kütle; toplam 2–5 kg</x:v>
      </x:c>
      <x:c r="J32" s="36" t="str">
        <x:v>Load cell ölçek katsayısı doğrusal regresyonla kalibre edilmeli.</x:v>
      </x:c>
      <x:c r="K32" s="36" t="str">
        <x:v>Tork ölçüm sisteminin kalibrasyonu.</x:v>
      </x:c>
      <x:c r="L32" s="36" t="str">
        <x:v>Mekanik yük</x:v>
      </x:c>
      <x:c r="M32" s="38" t="n">
        <x:v>300</x:v>
      </x:c>
      <x:c r="N32" s="38" t="n">
        <x:f>IF(G32="Evet",H32*M32,0)</x:f>
        <x:v>0</x:v>
      </x:c>
      <x:c r="O32" s="36" t="str">
        <x:v>Tahmini</x:v>
      </x:c>
      <x:c r="P32" s="36" t="str"/>
      <x:c r="Q32" s="36" t="str">
        <x:v>Laboratuvarda bilinen kütle varsa satın alma gerekmez.</x:v>
      </x:c>
      <x:c r="R32"/>
    </x:row>
    <x:row r="33" ht="78" customHeight="1">
      <x:c r="A33" s="36" t="n">
        <x:v>32</x:v>
      </x:c>
      <x:c r="B33" s="36" t="str">
        <x:v>Mekanik</x:v>
      </x:c>
      <x:c r="C33" s="36" t="str">
        <x:v>Rotor bağlantı güvenliği</x:v>
      </x:c>
      <x:c r="D33" s="36" t="str">
        <x:v>Mil ucu emniyet rondelası / ikinci mekanik kilit</x:v>
      </x:c>
      <x:c r="E33" s="36" t="str">
        <x:v>Şaft geometrisine uygun</x:v>
      </x:c>
      <x:c r="F33" s="36" t="str">
        <x:v>Zorunlu</x:v>
      </x:c>
      <x:c r="G33" s="36" t="str">
        <x:v>Evet</x:v>
      </x:c>
      <x:c r="H33" s="36" t="n">
        <x:v>1</x:v>
      </x:c>
      <x:c r="I33" s="36" t="str">
        <x:v>Rotor göbeğini eksenel kaçmaya karşı ikinci bir yöntemle kilitleyen düzenek</x:v>
      </x:c>
      <x:c r="J33" s="36" t="str">
        <x:v>Tek sıkma vidasına bağımlı olmamalı; kamalı + kelepçeli/omuzlu bağlantı tercih edilmeli.</x:v>
      </x:c>
      <x:c r="K33" s="36" t="str">
        <x:v>Rotorun mil üzerinden çıkma riskini azaltır.</x:v>
      </x:c>
      <x:c r="L33" s="36" t="str">
        <x:v>Mil</x:v>
      </x:c>
      <x:c r="M33" s="38" t="n">
        <x:v>100</x:v>
      </x:c>
      <x:c r="N33" s="38" t="n">
        <x:f>IF(G33="Evet",H33*M33,0)</x:f>
        <x:v>100</x:v>
      </x:c>
      <x:c r="O33" s="36" t="str">
        <x:v>Tahmini</x:v>
      </x:c>
      <x:c r="P33" s="36" t="str"/>
      <x:c r="Q33" s="36" t="str"/>
      <x:c r="R33"/>
    </x:row>
  </x:sheetData>
  <x:conditionalFormatting sqref="F2:F33">
    <x:cfRule type="expression" dxfId="0" priority="1">
      <x:formula>F2="Zorunlu"</x:formula>
    </x:cfRule>
    <x:cfRule type="expression" dxfId="1" priority="2">
      <x:formula>F2="Önerilen"</x:formula>
    </x:cfRule>
  </x:conditionalFormatting>
  <x:conditionalFormatting sqref="G2:G33">
    <x:cfRule type="expression" dxfId="2" priority="3">
      <x:formula>G2="Evet"</x:formula>
    </x:cfRule>
    <x:cfRule type="expression" dxfId="3" priority="4">
      <x:formula>G2="Hayır"</x:formula>
    </x:cfRule>
  </x:conditionalFormatting>
  <x:dataValidations count="2">
    <x:dataValidation type="list" sqref="F2:F33">
      <x:formula1>"Zorunlu,Önerilen,Opsiyonel"</x:formula1>
    </x:dataValidation>
    <x:dataValidation type="list" sqref="G2:G33">
      <x:formula1>"Evet,Hayır"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7e944cfc996407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5" hidden="0" customWidth="1"/>
    <x:col min="2" max="2" width="14" hidden="0" customWidth="1"/>
    <x:col min="3" max="3" width="25" hidden="0" customWidth="1"/>
    <x:col min="4" max="4" width="35" hidden="0" customWidth="1"/>
    <x:col min="5" max="5" width="38" hidden="0" customWidth="1"/>
    <x:col min="6" max="6" width="22" hidden="0" customWidth="1"/>
    <x:col min="7" max="7" width="40" hidden="0" customWidth="1"/>
  </x:cols>
  <x:sheetData>
    <x:row r="1">
      <x:c r="A1" s="32" t="str">
        <x:v>No</x:v>
      </x:c>
      <x:c r="B1" s="32" t="str">
        <x:v>Kategori</x:v>
      </x:c>
      <x:c r="C1" s="32" t="str">
        <x:v>Ekipman</x:v>
      </x:c>
      <x:c r="D1" s="32" t="str">
        <x:v>Minimum Teknik Özellik</x:v>
      </x:c>
      <x:c r="E1" s="32" t="str">
        <x:v>Projede Amaç</x:v>
      </x:c>
      <x:c r="F1" s="32" t="str">
        <x:v>Tedarik Durumu</x:v>
      </x:c>
      <x:c r="G1" s="32" t="str">
        <x:v>Not</x:v>
      </x:c>
    </x:row>
    <x:row r="2" ht="55" customHeight="1">
      <x:c r="A2" s="36" t="n">
        <x:v>1</x:v>
      </x:c>
      <x:c r="B2" s="36" t="str">
        <x:v>Ölçüm</x:v>
      </x:c>
      <x:c r="C2" s="36" t="str">
        <x:v>Dijital multimetre</x:v>
      </x:c>
      <x:c r="D2" s="36" t="str">
        <x:v>En az 600 V CAT III; DC akım/gerilim; süreklilik</x:v>
      </x:c>
      <x:c r="E2" s="36" t="str">
        <x:v>Besleme, Hall, kablo, sensör ve güvenlik kontrolü</x:v>
      </x:c>
      <x:c r="F2" s="36" t="str">
        <x:v>Laboratuvarda ortak</x:v>
      </x:c>
      <x:c r="G2" s="36" t="str">
        <x:v>Satın alma zorunlu değil</x:v>
      </x:c>
    </x:row>
    <x:row r="3" ht="55" customHeight="1">
      <x:c r="A3" s="36" t="n">
        <x:v>2</x:v>
      </x:c>
      <x:c r="B3" s="36" t="str">
        <x:v>Ölçüm</x:v>
      </x:c>
      <x:c r="C3" s="36" t="str">
        <x:v>2+ kanallı osiloskop</x:v>
      </x:c>
      <x:c r="D3" s="36" t="str">
        <x:v>≥50 MHz; ≥2 kanal; tercihen akım probu erişimi</x:v>
      </x:c>
      <x:c r="E3" s="36" t="str">
        <x:v>PWM, Hall, akım döngüsü ve zamanlama gözlemi</x:v>
      </x:c>
      <x:c r="F3" s="36" t="str">
        <x:v>Laboratuvarda ortak</x:v>
      </x:c>
      <x:c r="G3" s="36" t="str">
        <x:v>Faz düğümü ölçümü diferansiyel prob olmadan yapılmamalı</x:v>
      </x:c>
    </x:row>
    <x:row r="4" ht="55" customHeight="1">
      <x:c r="A4" s="36" t="n">
        <x:v>3</x:v>
      </x:c>
      <x:c r="B4" s="36" t="str">
        <x:v>Ölçüm</x:v>
      </x:c>
      <x:c r="C4" s="36" t="str">
        <x:v>Diferansiyel prob</x:v>
      </x:c>
      <x:c r="D4" s="36" t="str">
        <x:v>≥50 V common-mode; inverter ölçümüne uygun</x:v>
      </x:c>
      <x:c r="E4" s="36" t="str">
        <x:v>Faz-faz veya anahtarlama düğümü ölçümü</x:v>
      </x:c>
      <x:c r="F4" s="36" t="str">
        <x:v>Opsiyonel/lab ortak</x:v>
      </x:c>
      <x:c r="G4" s="36" t="str">
        <x:v>24 V sistemde dahi osiloskop toprak klipsi yanlış kullanılırsa kısa devre oluşturabilir</x:v>
      </x:c>
    </x:row>
    <x:row r="5" ht="55" customHeight="1">
      <x:c r="A5" s="36" t="n">
        <x:v>4</x:v>
      </x:c>
      <x:c r="B5" s="36" t="str">
        <x:v>Ölçüm</x:v>
      </x:c>
      <x:c r="C5" s="36" t="str">
        <x:v>Lazer takometre</x:v>
      </x:c>
      <x:c r="D5" s="36" t="str">
        <x:v>0–1000+ rpm</x:v>
      </x:c>
      <x:c r="E5" s="36" t="str">
        <x:v>Hall tabanlı hız ölçümünün bağımsız doğrulanması</x:v>
      </x:c>
      <x:c r="F5" s="36" t="str">
        <x:v>Opsiyonel/lab ortak</x:v>
      </x:c>
      <x:c r="G5" s="36" t="str">
        <x:v>Şaft üzerine reflektif bant ile</x:v>
      </x:c>
    </x:row>
    <x:row r="6" ht="55" customHeight="1">
      <x:c r="A6" s="36" t="n">
        <x:v>5</x:v>
      </x:c>
      <x:c r="B6" s="36" t="str">
        <x:v>Atölye</x:v>
      </x:c>
      <x:c r="C6" s="36" t="str">
        <x:v>Havya + lehim + sıcak hava</x:v>
      </x:c>
      <x:c r="D6" s="36" t="str">
        <x:v>Elektronik montaj için</x:v>
      </x:c>
      <x:c r="E6" s="36" t="str">
        <x:v>Sensör ve konektör montajı</x:v>
      </x:c>
      <x:c r="F6" s="36" t="str">
        <x:v>Laboratuvarda ortak</x:v>
      </x:c>
      <x:c r="G6" s="36" t="str"/>
    </x:row>
    <x:row r="7" ht="55" customHeight="1">
      <x:c r="A7" s="36" t="n">
        <x:v>6</x:v>
      </x:c>
      <x:c r="B7" s="36" t="str">
        <x:v>Atölye</x:v>
      </x:c>
      <x:c r="C7" s="36" t="str">
        <x:v>Krimp pensesi + kablo soyucu</x:v>
      </x:c>
      <x:c r="D7" s="36" t="str">
        <x:v>Ferrül/JST/faston uyumlu</x:v>
      </x:c>
      <x:c r="E7" s="36" t="str">
        <x:v>Güvenilir kablo sonlandırma</x:v>
      </x:c>
      <x:c r="F7" s="36" t="str">
        <x:v>Laboratuvarda ortak</x:v>
      </x:c>
      <x:c r="G7" s="36" t="str"/>
    </x:row>
    <x:row r="8" ht="55" customHeight="1">
      <x:c r="A8" s="36" t="n">
        <x:v>7</x:v>
      </x:c>
      <x:c r="B8" s="36" t="str">
        <x:v>Atölye</x:v>
      </x:c>
      <x:c r="C8" s="36" t="str">
        <x:v>Matkap / sütunlu matkap</x:v>
      </x:c>
      <x:c r="D8" s="36" t="str">
        <x:v>Metal/ahşap delme</x:v>
      </x:c>
      <x:c r="E8" s="36" t="str">
        <x:v>Taban ve braket imalatı</x:v>
      </x:c>
      <x:c r="F8" s="36" t="str">
        <x:v>Atölyede ortak</x:v>
      </x:c>
      <x:c r="G8" s="36" t="str">
        <x:v>Dönen parçalar için matkapta iş parçası mengene ile sabitlenmeli</x:v>
      </x:c>
    </x:row>
    <x:row r="9" ht="55" customHeight="1">
      <x:c r="A9" s="36" t="n">
        <x:v>8</x:v>
      </x:c>
      <x:c r="B9" s="36" t="str">
        <x:v>Atölye</x:v>
      </x:c>
      <x:c r="C9" s="36" t="str">
        <x:v>Torna/CNC erişimi</x:v>
      </x:c>
      <x:c r="D9" s="36" t="str">
        <x:v>Ø15 mm kamalı rotor adaptörü için</x:v>
      </x:c>
      <x:c r="E9" s="36" t="str">
        <x:v>Rotor-mil adaptör imalatı</x:v>
      </x:c>
      <x:c r="F9" s="36" t="str">
        <x:v>Atölyede ortak</x:v>
      </x:c>
      <x:c r="G9" s="36" t="str">
        <x:v>Atölye yoksa dışarıdan imalat</x:v>
      </x:c>
    </x:row>
    <x:row r="10" ht="55" customHeight="1">
      <x:c r="A10" s="36" t="n">
        <x:v>9</x:v>
      </x:c>
      <x:c r="B10" s="36" t="str">
        <x:v>Yazılım</x:v>
      </x:c>
      <x:c r="C10" s="36" t="str">
        <x:v>PC + STM32CubeIDE + X-CUBE-MCSDK</x:v>
      </x:c>
      <x:c r="D10" s="36" t="str">
        <x:v>ST yazılımları; Motor Control Workbench</x:v>
      </x:c>
      <x:c r="E10" s="36" t="str">
        <x:v>FOC/6-step yapılandırma, derleme ve debug</x:v>
      </x:c>
      <x:c r="F10" s="36" t="str">
        <x:v>Yazılım ücretsiz</x:v>
      </x:c>
      <x:c r="G10" s="36" t="str">
        <x:v>ST resmi kaynaklardan</x:v>
      </x:c>
    </x:row>
    <x:row r="11" ht="55" customHeight="1">
      <x:c r="A11" s="36" t="n">
        <x:v>10</x:v>
      </x:c>
      <x:c r="B11" s="36" t="str">
        <x:v>Yazılım</x:v>
      </x:c>
      <x:c r="C11" s="36" t="str">
        <x:v>MATLAB/Simulink</x:v>
      </x:c>
      <x:c r="D11" s="36" t="str">
        <x:v>Üniversite lisansı varsa</x:v>
      </x:c>
      <x:c r="E11" s="36" t="str">
        <x:v>Modelleme, PI tasarımı, MIL/SIL ve veri analizi</x:v>
      </x:c>
      <x:c r="F11" s="36" t="str">
        <x:v>Üniversite lisansı</x:v>
      </x:c>
      <x:c r="G11" s="36" t="str">
        <x:v>Zorunlu değil; ST MCSDK ile de proje gerçekleştirilebilir</x:v>
      </x:c>
    </x:row>
  </x:sheetData>
  <x:pageMargins left="0.7" right="0.7" top="0.75" bottom="0.75" header="0.3" footer="0.3"/>
  <x:tableParts count="1">
    <x:tablePart xmlns:r="http://schemas.openxmlformats.org/officeDocument/2006/relationships" r:id="R3257151feb11409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8" hidden="0" customWidth="1"/>
    <x:col min="3" max="3" width="24" hidden="0" customWidth="1"/>
    <x:col min="4" max="4" width="38" hidden="0" customWidth="1"/>
    <x:col min="5" max="5" width="38" hidden="0" customWidth="1"/>
    <x:col min="6" max="6" width="38" hidden="0" customWidth="1"/>
  </x:cols>
  <x:sheetData>
    <x:row r="1">
      <x:c r="A1" s="32" t="str">
        <x:v>Seçenek</x:v>
      </x:c>
      <x:c r="B1" s="32" t="str">
        <x:v>Mimari</x:v>
      </x:c>
      <x:c r="C1" s="32" t="str">
        <x:v>Güç/Sınır</x:v>
      </x:c>
      <x:c r="D1" s="32" t="str">
        <x:v>Avantaj</x:v>
      </x:c>
      <x:c r="E1" s="32" t="str">
        <x:v>Dezavantaj</x:v>
      </x:c>
      <x:c r="F1" s="32" t="str">
        <x:v>Ne Zaman Seçilmeli?</x:v>
      </x:c>
    </x:row>
    <x:row r="2" ht="70" customHeight="1">
      <x:c r="A2" s="36" t="str">
        <x:v>Ana öneri</x:v>
      </x:c>
      <x:c r="B2" s="36" t="str">
        <x:v>B-G431B-ESC1 + 150 W Hall BLDC</x:v>
      </x:c>
      <x:c r="C2" s="36" t="str">
        <x:v>Yaklaşık 150 W sınıfı</x:v>
      </x:c>
      <x:c r="D2" s="36" t="str">
        <x:v>FOC için tek kart; yüksek akım marjı; kurulum daha basit</x:v>
      </x:c>
      <x:c r="E2" s="36" t="str">
        <x:v>Sürücü maliyeti daha yüksek</x:v>
      </x:c>
      <x:c r="F2" s="36" t="str">
        <x:v>Ders projesi için en dengeli seçenek</x:v>
      </x:c>
    </x:row>
    <x:row r="3" ht="70" customHeight="1">
      <x:c r="A3" s="36" t="str">
        <x:v>Düşük güçlü eğitim seti</x:v>
      </x:c>
      <x:c r="B3" s="36" t="str">
        <x:v>NUCLEO-G431RB + X-NUCLEO-IHM16M1 + ≤30 W BLDC</x:v>
      </x:c>
      <x:c r="C3" s="36" t="str">
        <x:v>IHM16M1: 7–45 V, 1.5 Arms</x:v>
      </x:c>
      <x:c r="D3" s="36" t="str">
        <x:v>Modüler ve pedagojik; MCU ve inverter ayrık</x:v>
      </x:c>
      <x:c r="E3" s="36" t="str">
        <x:v>150 W motoru süremez; uygun küçük BLDC bulmak Türkiye'de pahalı olabilir</x:v>
      </x:c>
      <x:c r="F3" s="36" t="str">
        <x:v>Motor zaten laboratuvarda varsa en ucuz yol</x:v>
      </x:c>
    </x:row>
    <x:row r="4" ht="70" customHeight="1">
      <x:c r="A4" s="36" t="str">
        <x:v>Aktif yük yükseltmesi</x:v>
      </x:c>
      <x:c r="B4" s="36" t="str">
        <x:v>İkinci PMSM/BLDC + ikinci sürücü</x:v>
      </x:c>
      <x:c r="C4" s="36" t="str">
        <x:v>Programlanabilir dört bölgeli yük</x:v>
      </x:c>
      <x:c r="D4" s="36" t="str">
        <x:v>Yol yükü, periyodik yük, rejenerasyon</x:v>
      </x:c>
      <x:c r="E4" s="36" t="str">
        <x:v>Bütçe ve güvenlik karmaşıklığı yaklaşık iki kat</x:v>
      </x:c>
      <x:c r="F4" s="36" t="str">
        <x:v>İleri seviye proje/tez</x:v>
      </x:c>
    </x:row>
    <x:row r="5" ht="70" customHeight="1">
      <x:c r="A5" s="36" t="str">
        <x:v>Basit yük</x:v>
      </x:c>
      <x:c r="B5" s="36" t="str">
        <x:v>Disk fren + load cell</x:v>
      </x:c>
      <x:c r="C5" s="36" t="str">
        <x:v>Manuel/yarı programlanabilir</x:v>
      </x:c>
      <x:c r="D5" s="36" t="str">
        <x:v>En düşük maliyet; tork ölçümü doğrudan</x:v>
      </x:c>
      <x:c r="E5" s="36" t="str">
        <x:v>Sürekli güç absorpsiyonu sınırlı; sıcaklık artar</x:v>
      </x:c>
      <x:c r="F5" s="36" t="str">
        <x:v>Bu Excel'in ana yük çözümü</x:v>
      </x:c>
    </x:row>
  </x:sheetData>
  <x:pageMargins left="0.7" right="0.7" top="0.75" bottom="0.75" header="0.3" footer="0.3"/>
  <x:tableParts count="1">
    <x:tablePart xmlns:r="http://schemas.openxmlformats.org/officeDocument/2006/relationships" r:id="Rffa849892a7a4a87"/>
  </x:tableParts>
</x:worksheet>
</file>